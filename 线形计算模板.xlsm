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mc:AlternateContent xmlns:mc="http://schemas.openxmlformats.org/markup-compatibility/2006">
    <mc:Choice Requires="x15">
      <x15ac:absPath xmlns:x15ac="http://schemas.microsoft.com/office/spreadsheetml/2010/11/ac" url="C:\VsProjects\LineShapeCalc\"/>
    </mc:Choice>
  </mc:AlternateContent>
  <xr:revisionPtr revIDLastSave="0" documentId="13_ncr:1_{75C1C24B-3C2E-47A5-B97C-514D6DC7F67D}" xr6:coauthVersionLast="45" xr6:coauthVersionMax="45" xr10:uidLastSave="{00000000-0000-0000-0000-000000000000}"/>
  <bookViews>
    <workbookView xWindow="-120" yWindow="-120" windowWidth="29040" windowHeight="15840" xr2:uid="{00000000-000D-0000-FFFF-FFFF00000000}"/>
  </bookViews>
  <sheets>
    <sheet name="Sheet1" sheetId="1" r:id="rId1"/>
    <sheet name="Sheet2" sheetId="2" r:id="rId2"/>
    <sheet name="Sheet3" sheetId="3" r:id="rId3"/>
    <sheet name="草稿" sheetId="4" r:id="rId4"/>
  </sheets>
  <functionGroups builtInGroupCount="19"/>
  <calcPr calcId="181029" refMode="R1C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6" i="1" l="1"/>
</calcChain>
</file>

<file path=xl/sharedStrings.xml><?xml version="1.0" encoding="utf-8"?>
<sst xmlns="http://schemas.openxmlformats.org/spreadsheetml/2006/main" count="198" uniqueCount="106">
  <si>
    <t>测点</t>
  </si>
  <si>
    <t>后视点</t>
  </si>
  <si>
    <t>前示读数（m)</t>
  </si>
  <si>
    <t>后示读数（m)</t>
  </si>
  <si>
    <t>高程（m)</t>
  </si>
  <si>
    <t>高差改正数（m)</t>
  </si>
  <si>
    <t>改正后高程（m)</t>
  </si>
  <si>
    <t>ZK-18-2#</t>
  </si>
  <si>
    <t>/</t>
  </si>
  <si>
    <t>ZK-18-1#</t>
  </si>
  <si>
    <t>测站数（自动计算）</t>
  </si>
  <si>
    <t>ZK-17-3/4</t>
  </si>
  <si>
    <t>闭合差</t>
  </si>
  <si>
    <t>ZK-17-2/4</t>
  </si>
  <si>
    <t>水准路线长度（km)</t>
  </si>
  <si>
    <t>ZK-17-1/4</t>
  </si>
  <si>
    <t>容许闭合差（mm，二等水准）</t>
  </si>
  <si>
    <t>ZK-17#</t>
  </si>
  <si>
    <t>ZK-16-3/4</t>
  </si>
  <si>
    <t>ZK-16-2/4</t>
  </si>
  <si>
    <t>ZK-16-1/4</t>
  </si>
  <si>
    <t>ZK-16#</t>
  </si>
  <si>
    <t>ZK-15-3/4</t>
  </si>
  <si>
    <t>ZK-15-2/4</t>
  </si>
  <si>
    <t>ZK-15-1/4</t>
  </si>
  <si>
    <t>ZK-15#</t>
  </si>
  <si>
    <t>ZK-14-7/8</t>
  </si>
  <si>
    <t>ZK-14-6/8</t>
  </si>
  <si>
    <t>ZK-14-5/8</t>
  </si>
  <si>
    <t>ZK-14-4/8</t>
  </si>
  <si>
    <t>ZK-14-3/8</t>
  </si>
  <si>
    <t>ZK-14-2/8</t>
  </si>
  <si>
    <t>ZK-14-1/8</t>
  </si>
  <si>
    <t>ZK-14#</t>
  </si>
  <si>
    <t>ZK-13-3/4</t>
  </si>
  <si>
    <t>ZK-13-2/4</t>
  </si>
  <si>
    <t>ZK-13-1/4</t>
  </si>
  <si>
    <t>ZK-13#</t>
  </si>
  <si>
    <t>ZK-12-3/4</t>
  </si>
  <si>
    <t>ZK-12-2/4</t>
  </si>
  <si>
    <t>ZK-12-1/4</t>
  </si>
  <si>
    <t>ZK-12#</t>
  </si>
  <si>
    <t>ZK-11-3/4</t>
  </si>
  <si>
    <t>ZK-11-2/4</t>
  </si>
  <si>
    <t>ZK-11-1/4</t>
  </si>
  <si>
    <t>ZK-11-2#</t>
  </si>
  <si>
    <t>ZK-11-1#</t>
  </si>
  <si>
    <t>改正高差（m)</t>
  </si>
  <si>
    <t>11-1#</t>
  </si>
  <si>
    <t>11-2#</t>
  </si>
  <si>
    <t>11-1/4</t>
  </si>
  <si>
    <t>11-2/4</t>
  </si>
  <si>
    <t>11-3/4</t>
  </si>
  <si>
    <t>12#</t>
  </si>
  <si>
    <t>12-1/4</t>
  </si>
  <si>
    <t>12-2/4</t>
  </si>
  <si>
    <t>12-3/4</t>
  </si>
  <si>
    <t>13#</t>
  </si>
  <si>
    <t>13-1/4</t>
  </si>
  <si>
    <t>13-2/4</t>
  </si>
  <si>
    <t>13-3/4</t>
  </si>
  <si>
    <t>14#</t>
  </si>
  <si>
    <t>14-1/8</t>
  </si>
  <si>
    <t>14-2/8</t>
  </si>
  <si>
    <t>14-3/8</t>
  </si>
  <si>
    <t>14-4/8</t>
  </si>
  <si>
    <t>14-5/8</t>
  </si>
  <si>
    <t>14-6/8</t>
  </si>
  <si>
    <t>14-7/8</t>
  </si>
  <si>
    <t>15#</t>
  </si>
  <si>
    <t>15-1/4</t>
  </si>
  <si>
    <t>15-2/4</t>
  </si>
  <si>
    <t>15-3/4</t>
  </si>
  <si>
    <t>16#</t>
  </si>
  <si>
    <t>16-1/4</t>
  </si>
  <si>
    <t>16-2/4</t>
  </si>
  <si>
    <t>16-3/4</t>
  </si>
  <si>
    <t>17#</t>
  </si>
  <si>
    <t>17-1/4</t>
  </si>
  <si>
    <t>17-2/4</t>
  </si>
  <si>
    <t>17-3/4</t>
  </si>
  <si>
    <t>18-1#</t>
  </si>
  <si>
    <t>18-2#</t>
  </si>
  <si>
    <r>
      <t>T</t>
    </r>
    <r>
      <rPr>
        <sz val="11"/>
        <color theme="1"/>
        <rFont val="宋体"/>
        <family val="3"/>
        <charset val="134"/>
        <scheme val="minor"/>
      </rPr>
      <t>P1</t>
    </r>
    <phoneticPr fontId="3" type="noConversion"/>
  </si>
  <si>
    <t>TP2</t>
    <phoneticPr fontId="3" type="noConversion"/>
  </si>
  <si>
    <t>TP3</t>
    <phoneticPr fontId="3" type="noConversion"/>
  </si>
  <si>
    <t>TP4</t>
    <phoneticPr fontId="3" type="noConversion"/>
  </si>
  <si>
    <t>TP5</t>
    <phoneticPr fontId="3" type="noConversion"/>
  </si>
  <si>
    <t>BM1</t>
    <phoneticPr fontId="3" type="noConversion"/>
  </si>
  <si>
    <t>BM2</t>
    <phoneticPr fontId="3" type="noConversion"/>
  </si>
  <si>
    <r>
      <t>T</t>
    </r>
    <r>
      <rPr>
        <sz val="11"/>
        <color theme="1"/>
        <rFont val="宋体"/>
        <family val="3"/>
        <charset val="134"/>
        <scheme val="minor"/>
      </rPr>
      <t>P6</t>
    </r>
    <phoneticPr fontId="3" type="noConversion"/>
  </si>
  <si>
    <t>TP7</t>
    <phoneticPr fontId="3" type="noConversion"/>
  </si>
  <si>
    <t>TP8</t>
    <phoneticPr fontId="3" type="noConversion"/>
  </si>
  <si>
    <t>TP9</t>
    <phoneticPr fontId="3" type="noConversion"/>
  </si>
  <si>
    <t>测点</t>
    <phoneticPr fontId="3" type="noConversion"/>
  </si>
  <si>
    <t>BM1</t>
    <phoneticPr fontId="3" type="noConversion"/>
  </si>
  <si>
    <t>TP1</t>
    <phoneticPr fontId="3" type="noConversion"/>
  </si>
  <si>
    <t>TP2</t>
    <phoneticPr fontId="3" type="noConversion"/>
  </si>
  <si>
    <t>TP3</t>
    <phoneticPr fontId="3" type="noConversion"/>
  </si>
  <si>
    <t>TP4</t>
    <phoneticPr fontId="3" type="noConversion"/>
  </si>
  <si>
    <t>TP5</t>
    <phoneticPr fontId="3" type="noConversion"/>
  </si>
  <si>
    <t>TP6</t>
    <phoneticPr fontId="3" type="noConversion"/>
  </si>
  <si>
    <t>TP7</t>
    <phoneticPr fontId="3" type="noConversion"/>
  </si>
  <si>
    <t>TP8</t>
    <phoneticPr fontId="3" type="noConversion"/>
  </si>
  <si>
    <t>TP9</t>
    <phoneticPr fontId="3" type="noConversion"/>
  </si>
  <si>
    <t>BM2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</si>
</sst>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000_ "/>
    <numFmt numFmtId="177" formatCode="0.000_ "/>
  </numFmts>
  <fonts count="5" x14ac:knownFonts="1">
    <font>
      <sz val="11"/>
      <color theme="1"/>
      <name val="宋体"/>
      <charset val="134"/>
      <scheme val="minor"/>
    </font>
    <font>
      <sz val="11"/>
      <color rgb="FFFF0000"/>
      <name val="宋体"/>
      <charset val="134"/>
      <scheme val="minor"/>
    </font>
    <font>
      <sz val="11"/>
      <color rgb="FF000000"/>
      <name val="宋体"/>
      <family val="3"/>
      <charset val="134"/>
    </font>
    <font>
      <sz val="9"/>
      <name val="宋体"/>
      <family val="3"/>
      <charset val="134"/>
      <scheme val="minor"/>
    </font>
    <font>
      <sz val="11"/>
      <color theme="1"/>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8">
    <xf numFmtId="0" fontId="0" fillId="0" borderId="0" xfId="0">
      <alignment vertical="center"/>
    </xf>
    <xf numFmtId="49" fontId="0" fillId="0" borderId="0" xfId="0" applyNumberFormat="1" applyFont="1" applyFill="1" applyAlignment="1"/>
    <xf numFmtId="0" fontId="0" fillId="0" borderId="0" xfId="0" applyFont="1" applyFill="1" applyAlignment="1"/>
    <xf numFmtId="49" fontId="0" fillId="0" borderId="0" xfId="0" applyNumberFormat="1" applyFont="1" applyFill="1" applyAlignment="1">
      <alignment horizontal="center"/>
    </xf>
    <xf numFmtId="0" fontId="0" fillId="0" borderId="0" xfId="0" applyFill="1" applyAlignment="1"/>
    <xf numFmtId="49" fontId="0" fillId="0" borderId="0" xfId="0" applyNumberFormat="1" applyFill="1" applyAlignment="1">
      <alignment horizontal="center"/>
    </xf>
    <xf numFmtId="49" fontId="0" fillId="0" borderId="0" xfId="0" applyNumberFormat="1" applyFill="1" applyAlignment="1"/>
    <xf numFmtId="49" fontId="1" fillId="0" borderId="0" xfId="0" applyNumberFormat="1" applyFont="1" applyFill="1" applyAlignment="1"/>
    <xf numFmtId="0" fontId="1" fillId="0" borderId="0" xfId="0" applyFont="1" applyFill="1" applyAlignment="1"/>
    <xf numFmtId="49" fontId="0" fillId="0" borderId="0" xfId="0" applyNumberFormat="1" applyFill="1" applyAlignment="1"/>
    <xf numFmtId="0" fontId="0" fillId="0" borderId="0" xfId="0" applyFill="1" applyAlignment="1"/>
    <xf numFmtId="49" fontId="0" fillId="0" borderId="0" xfId="0" applyNumberFormat="1" applyFill="1" applyAlignment="1">
      <alignment horizontal="center"/>
    </xf>
    <xf numFmtId="49" fontId="0" fillId="0" borderId="0" xfId="0" applyNumberFormat="1" applyFont="1" applyFill="1" applyAlignment="1">
      <alignment horizontal="center"/>
    </xf>
    <xf numFmtId="176" fontId="0" fillId="0" borderId="0" xfId="0" applyNumberFormat="1">
      <alignment vertical="center"/>
    </xf>
    <xf numFmtId="176" fontId="0" fillId="0" borderId="0" xfId="0" applyNumberFormat="1" applyFont="1" applyFill="1" applyAlignment="1"/>
    <xf numFmtId="176" fontId="0" fillId="0" borderId="0" xfId="0" applyNumberFormat="1" applyFill="1" applyAlignment="1"/>
    <xf numFmtId="177" fontId="0" fillId="0" borderId="0" xfId="0" applyNumberFormat="1">
      <alignment vertical="center"/>
    </xf>
    <xf numFmtId="49" fontId="4" fillId="0" borderId="0" xfId="0" applyNumberFormat="1" applyFont="1" applyFill="1"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7</xdr:col>
      <xdr:colOff>247651</xdr:colOff>
      <xdr:row>18</xdr:row>
      <xdr:rowOff>133349</xdr:rowOff>
    </xdr:from>
    <xdr:to>
      <xdr:col>12</xdr:col>
      <xdr:colOff>323851</xdr:colOff>
      <xdr:row>33</xdr:row>
      <xdr:rowOff>142874</xdr:rowOff>
    </xdr:to>
    <xdr:sp macro="" textlink="">
      <xdr:nvSpPr>
        <xdr:cNvPr id="2" name="文本框 1">
          <a:extLst>
            <a:ext uri="{FF2B5EF4-FFF2-40B4-BE49-F238E27FC236}">
              <a16:creationId xmlns:a16="http://schemas.microsoft.com/office/drawing/2014/main" id="{00000000-0008-0000-0000-000002000000}"/>
            </a:ext>
          </a:extLst>
        </xdr:cNvPr>
        <xdr:cNvSpPr txBox="1"/>
      </xdr:nvSpPr>
      <xdr:spPr>
        <a:xfrm>
          <a:off x="7515226" y="3219449"/>
          <a:ext cx="5086350" cy="258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1100" b="1">
              <a:solidFill>
                <a:srgbClr val="FF0000"/>
              </a:solidFill>
            </a:rPr>
            <a:t>重要提示：测试结果仅供参考，不完全满足规范要求。</a:t>
          </a:r>
          <a:endParaRPr lang="en-US" altLang="zh-CN" sz="1100" b="1">
            <a:solidFill>
              <a:srgbClr val="FF0000"/>
            </a:solidFill>
          </a:endParaRPr>
        </a:p>
        <a:p>
          <a:endParaRPr lang="en-US" altLang="zh-CN" sz="1100"/>
        </a:p>
        <a:p>
          <a:r>
            <a:rPr lang="zh-CN" altLang="en-US" sz="1100"/>
            <a:t>使用说明：</a:t>
          </a:r>
          <a:endParaRPr lang="en-US" altLang="zh-CN" sz="1100"/>
        </a:p>
        <a:p>
          <a:r>
            <a:rPr lang="en-US" altLang="zh-CN" sz="1100">
              <a:solidFill>
                <a:srgbClr val="FF0000"/>
              </a:solidFill>
            </a:rPr>
            <a:t>1</a:t>
          </a:r>
          <a:r>
            <a:rPr lang="zh-CN" altLang="en-US" sz="1100">
              <a:solidFill>
                <a:srgbClr val="FF0000"/>
              </a:solidFill>
            </a:rPr>
            <a:t>、本标签可实现水准测量数据自动转换功能；</a:t>
          </a:r>
          <a:endParaRPr lang="en-US" altLang="zh-CN" sz="1100">
            <a:solidFill>
              <a:srgbClr val="FF0000"/>
            </a:solidFill>
          </a:endParaRPr>
        </a:p>
        <a:p>
          <a:r>
            <a:rPr lang="en-US" altLang="zh-CN" sz="1100"/>
            <a:t>2</a:t>
          </a:r>
          <a:r>
            <a:rPr lang="zh-CN" altLang="en-US" sz="1100"/>
            <a:t>、参考输入示例填写水准测量数据；</a:t>
          </a:r>
          <a:endParaRPr lang="en-US" altLang="zh-CN" sz="1100"/>
        </a:p>
        <a:p>
          <a:r>
            <a:rPr lang="en-US" altLang="zh-CN" sz="1100"/>
            <a:t>3</a:t>
          </a:r>
          <a:r>
            <a:rPr lang="zh-CN" altLang="en-US" sz="1100"/>
            <a:t>、基点高程可填写</a:t>
          </a:r>
          <a:r>
            <a:rPr lang="en-US" altLang="zh-CN" sz="1100"/>
            <a:t>0</a:t>
          </a:r>
          <a:r>
            <a:rPr lang="zh-CN" altLang="en-US" sz="1100"/>
            <a:t>；</a:t>
          </a:r>
          <a:endParaRPr lang="en-US" altLang="zh-CN" sz="1100"/>
        </a:p>
        <a:p>
          <a:r>
            <a:rPr lang="en-US" altLang="zh-CN" sz="1100"/>
            <a:t>4</a:t>
          </a:r>
          <a:r>
            <a:rPr lang="zh-CN" altLang="en-US" sz="1100"/>
            <a:t>、点击“自动计算”进行计算；</a:t>
          </a:r>
          <a:endParaRPr lang="en-US" altLang="zh-CN" sz="1100"/>
        </a:p>
        <a:p>
          <a:r>
            <a:rPr lang="en-US" altLang="zh-CN" sz="1100"/>
            <a:t>5</a:t>
          </a:r>
          <a:r>
            <a:rPr lang="zh-CN" altLang="en-US" sz="1100"/>
            <a:t>、换算百分表读数是高程的相反数（高程读数换算后才能用百分表的计算公式计算挠度的有关结果）；</a:t>
          </a:r>
          <a:endParaRPr lang="en-US" altLang="zh-CN" sz="1100"/>
        </a:p>
        <a:p>
          <a:r>
            <a:rPr lang="en-US" altLang="zh-CN" sz="1100"/>
            <a:t>6</a:t>
          </a:r>
          <a:r>
            <a:rPr lang="zh-CN" altLang="en-US" sz="1100"/>
            <a:t>、“重填水准测量数据”可以快速清空已填写数据；</a:t>
          </a:r>
        </a:p>
        <a:p>
          <a:r>
            <a:rPr lang="en-US" altLang="zh-CN" sz="1100"/>
            <a:t>7</a:t>
          </a:r>
          <a:r>
            <a:rPr lang="zh-CN" altLang="en-US" sz="1100"/>
            <a:t>、算法原理详见</a:t>
          </a:r>
          <a:r>
            <a:rPr lang="en-US" altLang="zh-CN" sz="1100"/>
            <a:t>VBA</a:t>
          </a:r>
          <a:r>
            <a:rPr lang="zh-CN" altLang="en-US" sz="1100"/>
            <a:t>源代码（</a:t>
          </a:r>
          <a:r>
            <a:rPr lang="en-US" altLang="zh-CN" sz="1100"/>
            <a:t>Alt+F11</a:t>
          </a:r>
          <a:r>
            <a:rPr lang="zh-CN" altLang="en-US" sz="1100"/>
            <a:t>）；</a:t>
          </a:r>
        </a:p>
        <a:p>
          <a:r>
            <a:rPr lang="en-US" altLang="zh-CN" sz="1100">
              <a:solidFill>
                <a:srgbClr val="FF0000"/>
              </a:solidFill>
            </a:rPr>
            <a:t>8</a:t>
          </a:r>
          <a:r>
            <a:rPr lang="zh-CN" altLang="en-US" sz="1100">
              <a:solidFill>
                <a:srgbClr val="FF0000"/>
              </a:solidFill>
            </a:rPr>
            <a:t>、闭合站点测点号要加后缀</a:t>
          </a:r>
          <a:r>
            <a:rPr lang="en-US" altLang="zh-CN" sz="1100">
              <a:solidFill>
                <a:srgbClr val="FF0000"/>
              </a:solidFill>
            </a:rPr>
            <a:t>“-</a:t>
          </a:r>
          <a:r>
            <a:rPr lang="zh-CN" altLang="en-US" sz="1100">
              <a:solidFill>
                <a:srgbClr val="FF0000"/>
              </a:solidFill>
            </a:rPr>
            <a:t>闭合</a:t>
          </a:r>
          <a:r>
            <a:rPr lang="en-US" altLang="zh-CN" sz="1100">
              <a:solidFill>
                <a:srgbClr val="FF0000"/>
              </a:solidFill>
            </a:rPr>
            <a:t>”</a:t>
          </a:r>
          <a:r>
            <a:rPr lang="zh-CN" altLang="en-US" sz="1100">
              <a:solidFill>
                <a:srgbClr val="FF0000"/>
              </a:solidFill>
            </a:rPr>
            <a:t>；</a:t>
          </a:r>
          <a:endParaRPr lang="en-US" altLang="zh-CN" sz="1100">
            <a:solidFill>
              <a:srgbClr val="FF0000"/>
            </a:solidFill>
          </a:endParaRPr>
        </a:p>
        <a:p>
          <a:r>
            <a:rPr lang="en-US" altLang="zh-CN" sz="1100">
              <a:solidFill>
                <a:srgbClr val="FF0000"/>
              </a:solidFill>
            </a:rPr>
            <a:t>9</a:t>
          </a:r>
          <a:r>
            <a:rPr lang="zh-CN" altLang="en-US" sz="1100">
              <a:solidFill>
                <a:srgbClr val="FF0000"/>
              </a:solidFill>
            </a:rPr>
            <a:t>、“手动排序”功能可以对计算结果进行排序。</a:t>
          </a:r>
        </a:p>
      </xdr:txBody>
    </xdr:sp>
    <xdr:clientData/>
  </xdr:twoCellAnchor>
  <mc:AlternateContent xmlns:mc="http://schemas.openxmlformats.org/markup-compatibility/2006">
    <mc:Choice xmlns:a14="http://schemas.microsoft.com/office/drawing/2010/main" Requires="a14">
      <xdr:twoCellAnchor editAs="oneCell">
        <xdr:from>
          <xdr:col>7</xdr:col>
          <xdr:colOff>381000</xdr:colOff>
          <xdr:row>6</xdr:row>
          <xdr:rowOff>0</xdr:rowOff>
        </xdr:from>
        <xdr:to>
          <xdr:col>9</xdr:col>
          <xdr:colOff>190500</xdr:colOff>
          <xdr:row>7</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清空输入数据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8</xdr:row>
          <xdr:rowOff>38100</xdr:rowOff>
        </xdr:from>
        <xdr:to>
          <xdr:col>9</xdr:col>
          <xdr:colOff>209550</xdr:colOff>
          <xdr:row>9</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自动计算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600075</xdr:colOff>
          <xdr:row>8</xdr:row>
          <xdr:rowOff>19050</xdr:rowOff>
        </xdr:from>
        <xdr:to>
          <xdr:col>11</xdr:col>
          <xdr:colOff>714375</xdr:colOff>
          <xdr:row>9</xdr:row>
          <xdr:rowOff>123825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查看测站数（可选）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2200275</xdr:colOff>
          <xdr:row>8</xdr:row>
          <xdr:rowOff>57150</xdr:rowOff>
        </xdr:from>
        <xdr:to>
          <xdr:col>12</xdr:col>
          <xdr:colOff>847725</xdr:colOff>
          <xdr:row>9</xdr:row>
          <xdr:rowOff>161925</xdr:rowOff>
        </xdr:to>
        <xdr:sp macro="" textlink="">
          <xdr:nvSpPr>
            <xdr:cNvPr id="1028" name="Button 3" hidden="1">
              <a:extLst>
                <a:ext uri="{63B3BB69-23CF-44E3-9099-C40C66FF867C}">
                  <a14:compatExt spid="_x0000_s1028"/>
                </a:ext>
                <a:ext uri="{FF2B5EF4-FFF2-40B4-BE49-F238E27FC236}">
                  <a16:creationId xmlns:a16="http://schemas.microsoft.com/office/drawing/2014/main" id="{28B7E1DB-DDD0-42D4-809A-BBACFF00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手动排序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2219325</xdr:colOff>
          <xdr:row>11</xdr:row>
          <xdr:rowOff>66675</xdr:rowOff>
        </xdr:from>
        <xdr:to>
          <xdr:col>12</xdr:col>
          <xdr:colOff>866775</xdr:colOff>
          <xdr:row>13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FFBEE31A-434F-427A-AC4F-F0873AEAE2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上移一行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2228850</xdr:colOff>
          <xdr:row>14</xdr:row>
          <xdr:rowOff>9525</xdr:rowOff>
        </xdr:from>
        <xdr:to>
          <xdr:col>12</xdr:col>
          <xdr:colOff>876300</xdr:colOff>
          <xdr:row>15</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F08DA485-CA7F-4120-B827-09CE2613FD9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下移一行</a:t>
              </a:r>
            </a:p>
          </xdr:txBody>
        </xdr:sp>
        <xdr:clientData fPrintsWithSheet="0"/>
      </xdr:twoCellAnchor>
    </mc:Choice>
    <mc:Fallback/>
  </mc:AlternateContent>
  <xdr:twoCellAnchor>
    <xdr:from>
      <xdr:col>7</xdr:col>
      <xdr:colOff>314325</xdr:colOff>
      <xdr:row>13</xdr:row>
      <xdr:rowOff>76200</xdr:rowOff>
    </xdr:from>
    <xdr:to>
      <xdr:col>11</xdr:col>
      <xdr:colOff>781050</xdr:colOff>
      <xdr:row>16</xdr:row>
      <xdr:rowOff>85725</xdr:rowOff>
    </xdr:to>
    <xdr:sp macro="" textlink="">
      <xdr:nvSpPr>
        <xdr:cNvPr id="3" name="文本框 2">
          <a:extLst>
            <a:ext uri="{FF2B5EF4-FFF2-40B4-BE49-F238E27FC236}">
              <a16:creationId xmlns:a16="http://schemas.microsoft.com/office/drawing/2014/main" id="{2F9F1893-24BF-4899-A7EF-9BCADB1E84A8}"/>
            </a:ext>
          </a:extLst>
        </xdr:cNvPr>
        <xdr:cNvSpPr txBox="1"/>
      </xdr:nvSpPr>
      <xdr:spPr>
        <a:xfrm>
          <a:off x="7581900" y="2305050"/>
          <a:ext cx="32099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测站数自动计算的算法为统计后视点的个数</a:t>
          </a:r>
        </a:p>
      </xdr:txBody>
    </xdr:sp>
    <xdr:clientData/>
  </xdr:twoCellAnchor>
  <xdr:twoCellAnchor>
    <xdr:from>
      <xdr:col>0</xdr:col>
      <xdr:colOff>885824</xdr:colOff>
      <xdr:row>21</xdr:row>
      <xdr:rowOff>19050</xdr:rowOff>
    </xdr:from>
    <xdr:to>
      <xdr:col>6</xdr:col>
      <xdr:colOff>504825</xdr:colOff>
      <xdr:row>26</xdr:row>
      <xdr:rowOff>66675</xdr:rowOff>
    </xdr:to>
    <xdr:sp macro="" textlink="">
      <xdr:nvSpPr>
        <xdr:cNvPr id="4" name="文本框 3">
          <a:extLst>
            <a:ext uri="{FF2B5EF4-FFF2-40B4-BE49-F238E27FC236}">
              <a16:creationId xmlns:a16="http://schemas.microsoft.com/office/drawing/2014/main" id="{D7EC6D2A-365B-4FD4-9852-BA388FD3673E}"/>
            </a:ext>
          </a:extLst>
        </xdr:cNvPr>
        <xdr:cNvSpPr txBox="1"/>
      </xdr:nvSpPr>
      <xdr:spPr>
        <a:xfrm>
          <a:off x="885824" y="3619500"/>
          <a:ext cx="5734051"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CN" altLang="en-US" b="1">
              <a:solidFill>
                <a:srgbClr val="FF0000"/>
              </a:solidFill>
              <a:effectLst/>
            </a:rPr>
            <a:t>免责声明</a:t>
          </a:r>
          <a:endParaRPr lang="en-US" altLang="zh-CN" b="1">
            <a:solidFill>
              <a:srgbClr val="FF0000"/>
            </a:solidFill>
            <a:effectLst/>
          </a:endParaRPr>
        </a:p>
        <a:p>
          <a:r>
            <a:rPr lang="zh-CN" altLang="en-US" b="1">
              <a:solidFill>
                <a:srgbClr val="FF0000"/>
              </a:solidFill>
              <a:effectLst/>
            </a:rPr>
            <a:t>用户可以自由选择是否该软件。如果用户下载、安装、使用本软件</a:t>
          </a:r>
          <a:r>
            <a:rPr lang="en-US" altLang="zh-CN" b="1">
              <a:solidFill>
                <a:srgbClr val="FF0000"/>
              </a:solidFill>
              <a:effectLst/>
            </a:rPr>
            <a:t>,</a:t>
          </a:r>
          <a:r>
            <a:rPr lang="zh-CN" altLang="en-US" b="1">
              <a:solidFill>
                <a:srgbClr val="FF0000"/>
              </a:solidFill>
              <a:effectLst/>
            </a:rPr>
            <a:t>即表明用户信任该软件作者</a:t>
          </a:r>
          <a:r>
            <a:rPr lang="en-US" altLang="zh-CN" b="1">
              <a:solidFill>
                <a:srgbClr val="FF0000"/>
              </a:solidFill>
              <a:effectLst/>
            </a:rPr>
            <a:t>, </a:t>
          </a:r>
          <a:r>
            <a:rPr lang="zh-CN" altLang="en-US" b="1">
              <a:solidFill>
                <a:srgbClr val="FF0000"/>
              </a:solidFill>
              <a:effectLst/>
            </a:rPr>
            <a:t>软件作者对在何原因在使用本软件时可能对用户自己或他人造成的任何形式的损失和伤害不承担责任。</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73"/>
  <sheetViews>
    <sheetView tabSelected="1" workbookViewId="0">
      <selection activeCell="F11" sqref="F11"/>
    </sheetView>
  </sheetViews>
  <sheetFormatPr defaultColWidth="9" defaultRowHeight="13.5" x14ac:dyDescent="0.15"/>
  <cols>
    <col min="1" max="1" width="14.625" customWidth="1"/>
    <col min="2" max="2" width="14.375" customWidth="1"/>
    <col min="3" max="4" width="13.125" customWidth="1"/>
    <col min="5" max="5" width="9.375" customWidth="1"/>
    <col min="6" max="6" width="15.625" style="13" customWidth="1"/>
    <col min="7" max="7" width="15.125" customWidth="1"/>
    <col min="12" max="12" width="29.75" customWidth="1"/>
    <col min="13" max="13" width="12.625"/>
  </cols>
  <sheetData>
    <row r="1" spans="1:18" x14ac:dyDescent="0.15">
      <c r="A1" s="1" t="s">
        <v>0</v>
      </c>
      <c r="B1" s="1" t="s">
        <v>1</v>
      </c>
      <c r="C1" s="2" t="s">
        <v>2</v>
      </c>
      <c r="D1" s="2" t="s">
        <v>3</v>
      </c>
      <c r="E1" s="2" t="s">
        <v>4</v>
      </c>
      <c r="F1" s="14" t="s">
        <v>5</v>
      </c>
      <c r="G1" s="2" t="s">
        <v>6</v>
      </c>
      <c r="O1" t="s">
        <v>94</v>
      </c>
      <c r="P1" t="s">
        <v>4</v>
      </c>
      <c r="Q1" t="s">
        <v>5</v>
      </c>
      <c r="R1" t="s">
        <v>6</v>
      </c>
    </row>
    <row r="2" spans="1:18" x14ac:dyDescent="0.15">
      <c r="A2" s="17" t="s">
        <v>88</v>
      </c>
      <c r="B2" s="1" t="s">
        <v>8</v>
      </c>
      <c r="C2" s="4">
        <v>0</v>
      </c>
      <c r="D2" s="4">
        <v>1.8254699999999999</v>
      </c>
      <c r="E2" s="4">
        <v>0</v>
      </c>
      <c r="F2" s="15">
        <v>0</v>
      </c>
      <c r="G2">
        <v>0</v>
      </c>
      <c r="O2" t="s">
        <v>95</v>
      </c>
      <c r="P2">
        <v>0</v>
      </c>
      <c r="Q2">
        <v>0</v>
      </c>
      <c r="R2">
        <v>0</v>
      </c>
    </row>
    <row r="3" spans="1:18" x14ac:dyDescent="0.15">
      <c r="A3" s="17" t="s">
        <v>83</v>
      </c>
      <c r="B3" s="17" t="s">
        <v>88</v>
      </c>
      <c r="C3" s="4">
        <v>1.77895</v>
      </c>
      <c r="D3" s="4">
        <v>1.8254699999999999</v>
      </c>
      <c r="E3" s="4">
        <v>4.6519999999999999E-2</v>
      </c>
      <c r="F3" s="15">
        <v>-1.4E-3</v>
      </c>
      <c r="G3">
        <v>4.512E-2</v>
      </c>
      <c r="L3" t="s">
        <v>10</v>
      </c>
      <c r="M3">
        <v>3</v>
      </c>
      <c r="O3" t="s">
        <v>96</v>
      </c>
      <c r="P3">
        <v>4.6519999999999999E-2</v>
      </c>
      <c r="Q3">
        <v>-1.4E-3</v>
      </c>
      <c r="R3">
        <v>4.512E-2</v>
      </c>
    </row>
    <row r="4" spans="1:18" x14ac:dyDescent="0.15">
      <c r="A4" s="17" t="s">
        <v>84</v>
      </c>
      <c r="B4" s="17" t="s">
        <v>88</v>
      </c>
      <c r="C4" s="4">
        <v>1.4067499999999999</v>
      </c>
      <c r="D4" s="4">
        <v>1.8254699999999999</v>
      </c>
      <c r="E4" s="4">
        <v>0.41871999999999998</v>
      </c>
      <c r="F4" s="15">
        <v>-1.4E-3</v>
      </c>
      <c r="G4">
        <v>0.41731999999999997</v>
      </c>
      <c r="L4" t="s">
        <v>12</v>
      </c>
      <c r="M4" s="10">
        <v>4.1899999999976999E-3</v>
      </c>
      <c r="O4" t="s">
        <v>98</v>
      </c>
      <c r="P4">
        <v>0.77471999999999996</v>
      </c>
      <c r="Q4">
        <v>-1.4E-3</v>
      </c>
      <c r="R4">
        <v>0.77332000000000001</v>
      </c>
    </row>
    <row r="5" spans="1:18" x14ac:dyDescent="0.15">
      <c r="A5" s="17" t="s">
        <v>85</v>
      </c>
      <c r="B5" s="17" t="s">
        <v>88</v>
      </c>
      <c r="C5" s="4">
        <v>1.0507500000000001</v>
      </c>
      <c r="D5" s="4">
        <v>1.8254699999999999</v>
      </c>
      <c r="E5" s="4">
        <v>0.77471999999999996</v>
      </c>
      <c r="F5" s="15">
        <v>-1.4E-3</v>
      </c>
      <c r="G5">
        <v>0.77332000000000001</v>
      </c>
      <c r="L5" t="s">
        <v>14</v>
      </c>
      <c r="M5">
        <v>1.59</v>
      </c>
      <c r="O5" t="s">
        <v>97</v>
      </c>
      <c r="P5">
        <v>0.41871999999999998</v>
      </c>
      <c r="Q5">
        <v>-1.4E-3</v>
      </c>
      <c r="R5">
        <v>0.41731999999999997</v>
      </c>
    </row>
    <row r="6" spans="1:18" x14ac:dyDescent="0.15">
      <c r="A6" s="17" t="s">
        <v>86</v>
      </c>
      <c r="B6" s="17" t="s">
        <v>88</v>
      </c>
      <c r="C6" s="4">
        <v>0.67778000000000005</v>
      </c>
      <c r="D6" s="4">
        <v>1.8254699999999999</v>
      </c>
      <c r="E6" s="4">
        <v>1.1476900000000001</v>
      </c>
      <c r="F6" s="15">
        <v>-1.4E-3</v>
      </c>
      <c r="G6">
        <v>1.14629</v>
      </c>
      <c r="L6" t="s">
        <v>16</v>
      </c>
      <c r="M6" s="16">
        <f>3*SQRT(M5)</f>
        <v>3.7828560638755477</v>
      </c>
      <c r="O6" t="s">
        <v>99</v>
      </c>
      <c r="P6">
        <v>1.1476900000000001</v>
      </c>
      <c r="Q6">
        <v>-1.4E-3</v>
      </c>
      <c r="R6">
        <v>1.14629</v>
      </c>
    </row>
    <row r="7" spans="1:18" x14ac:dyDescent="0.15">
      <c r="A7" s="17" t="s">
        <v>87</v>
      </c>
      <c r="B7" s="17" t="s">
        <v>88</v>
      </c>
      <c r="C7" s="4">
        <v>0.28165000000000001</v>
      </c>
      <c r="D7" s="4">
        <v>1.8254699999999999</v>
      </c>
      <c r="E7" s="4">
        <v>1.54382</v>
      </c>
      <c r="F7" s="15">
        <v>-1.4E-3</v>
      </c>
      <c r="G7">
        <v>1.5424199999999999</v>
      </c>
      <c r="O7" t="s">
        <v>100</v>
      </c>
      <c r="P7">
        <v>1.54382</v>
      </c>
      <c r="Q7">
        <v>-1.4E-3</v>
      </c>
      <c r="R7">
        <v>1.5424199999999999</v>
      </c>
    </row>
    <row r="8" spans="1:18" x14ac:dyDescent="0.15">
      <c r="A8" s="17" t="s">
        <v>90</v>
      </c>
      <c r="B8" s="17" t="s">
        <v>87</v>
      </c>
      <c r="C8" s="4">
        <v>1.372304</v>
      </c>
      <c r="D8" s="4">
        <v>1.9369799999999999</v>
      </c>
      <c r="E8" s="4">
        <v>2.1084999999999998</v>
      </c>
      <c r="F8" s="15">
        <v>-2.7899999999999999E-3</v>
      </c>
      <c r="G8">
        <v>2.1057099999999997</v>
      </c>
      <c r="O8" t="s">
        <v>101</v>
      </c>
      <c r="P8">
        <v>2.1084999999999998</v>
      </c>
      <c r="Q8">
        <v>-2.7899999999999999E-3</v>
      </c>
      <c r="R8">
        <v>2.1057099999999997</v>
      </c>
    </row>
    <row r="9" spans="1:18" x14ac:dyDescent="0.15">
      <c r="A9" s="17" t="s">
        <v>91</v>
      </c>
      <c r="B9" s="17" t="s">
        <v>87</v>
      </c>
      <c r="C9" s="4">
        <v>0.79220000000000002</v>
      </c>
      <c r="D9" s="4">
        <v>1.9369799999999999</v>
      </c>
      <c r="E9" s="4">
        <v>2.6886000000000001</v>
      </c>
      <c r="F9" s="15">
        <v>-2.7899999999999999E-3</v>
      </c>
      <c r="G9">
        <v>2.68581</v>
      </c>
      <c r="O9" t="s">
        <v>102</v>
      </c>
      <c r="P9">
        <v>2.6886000000000001</v>
      </c>
      <c r="Q9">
        <v>-2.7899999999999999E-3</v>
      </c>
      <c r="R9">
        <v>2.68581</v>
      </c>
    </row>
    <row r="10" spans="1:18" x14ac:dyDescent="0.15">
      <c r="A10" s="17" t="s">
        <v>92</v>
      </c>
      <c r="B10" s="17" t="s">
        <v>87</v>
      </c>
      <c r="C10" s="4">
        <v>0.32717000000000002</v>
      </c>
      <c r="D10" s="4">
        <v>1.9369799999999999</v>
      </c>
      <c r="E10" s="4">
        <v>3.1536300000000002</v>
      </c>
      <c r="F10" s="15">
        <v>-2.7899999999999999E-3</v>
      </c>
      <c r="G10">
        <v>3.1508400000000001</v>
      </c>
      <c r="O10" t="s">
        <v>103</v>
      </c>
      <c r="P10">
        <v>3.1536300000000002</v>
      </c>
      <c r="Q10">
        <v>-2.7899999999999999E-3</v>
      </c>
      <c r="R10">
        <v>3.1508400000000001</v>
      </c>
    </row>
    <row r="11" spans="1:18" x14ac:dyDescent="0.15">
      <c r="A11" s="17" t="s">
        <v>93</v>
      </c>
      <c r="B11" s="17" t="s">
        <v>92</v>
      </c>
      <c r="C11" s="4">
        <v>1.2381</v>
      </c>
      <c r="D11" s="4">
        <v>1.70262</v>
      </c>
      <c r="E11" s="4">
        <v>3.61815</v>
      </c>
      <c r="F11" s="15">
        <v>-4.1900000000000001E-3</v>
      </c>
      <c r="G11">
        <v>3.6139600000000001</v>
      </c>
      <c r="O11" t="s">
        <v>104</v>
      </c>
      <c r="P11">
        <v>3.61815</v>
      </c>
      <c r="Q11">
        <v>-4.1900000000000001E-3</v>
      </c>
      <c r="R11">
        <v>3.6139600000000001</v>
      </c>
    </row>
    <row r="12" spans="1:18" x14ac:dyDescent="0.15">
      <c r="A12" s="17" t="s">
        <v>89</v>
      </c>
      <c r="B12" s="17" t="s">
        <v>92</v>
      </c>
      <c r="C12" s="4">
        <v>0.43859999999999999</v>
      </c>
      <c r="D12" s="4">
        <v>1.70262</v>
      </c>
      <c r="E12" s="4">
        <v>4.4176500000000001</v>
      </c>
      <c r="F12" s="15">
        <v>-4.1900000000000001E-3</v>
      </c>
      <c r="G12">
        <v>4.4134599999999997</v>
      </c>
      <c r="O12" t="s">
        <v>105</v>
      </c>
      <c r="P12">
        <v>4.4176500000000001</v>
      </c>
      <c r="Q12">
        <v>-4.1900000000000001E-3</v>
      </c>
      <c r="R12">
        <v>4.4134599999999997</v>
      </c>
    </row>
    <row r="13" spans="1:18" x14ac:dyDescent="0.15">
      <c r="A13" s="5"/>
      <c r="B13" s="5"/>
      <c r="C13" s="4"/>
      <c r="D13" s="4"/>
      <c r="E13" s="4"/>
      <c r="F13" s="15"/>
    </row>
    <row r="14" spans="1:18" x14ac:dyDescent="0.15">
      <c r="A14" s="5"/>
      <c r="B14" s="5"/>
      <c r="C14" s="4"/>
      <c r="D14" s="4"/>
      <c r="E14" s="4"/>
      <c r="F14" s="15"/>
    </row>
    <row r="15" spans="1:18" x14ac:dyDescent="0.15">
      <c r="A15" s="5"/>
      <c r="B15" s="5"/>
      <c r="C15" s="4"/>
      <c r="D15" s="4"/>
      <c r="E15" s="4"/>
      <c r="F15" s="15"/>
    </row>
    <row r="16" spans="1:18" x14ac:dyDescent="0.15">
      <c r="A16" s="5"/>
      <c r="B16" s="5"/>
      <c r="C16" s="4"/>
      <c r="D16" s="4"/>
      <c r="E16" s="4"/>
      <c r="F16" s="15"/>
    </row>
    <row r="17" spans="1:6" x14ac:dyDescent="0.15">
      <c r="A17" s="5"/>
      <c r="B17" s="5"/>
      <c r="C17" s="4"/>
      <c r="D17" s="4"/>
      <c r="E17" s="4"/>
      <c r="F17" s="15"/>
    </row>
    <row r="18" spans="1:6" x14ac:dyDescent="0.15">
      <c r="A18" s="5"/>
      <c r="B18" s="5"/>
      <c r="C18" s="4"/>
      <c r="D18" s="4"/>
      <c r="E18" s="4"/>
      <c r="F18" s="15"/>
    </row>
    <row r="19" spans="1:6" x14ac:dyDescent="0.15">
      <c r="A19" s="5"/>
      <c r="B19" s="5"/>
      <c r="C19" s="4"/>
      <c r="D19" s="4"/>
      <c r="E19" s="4"/>
      <c r="F19" s="15"/>
    </row>
    <row r="20" spans="1:6" x14ac:dyDescent="0.15">
      <c r="A20" s="5"/>
      <c r="B20" s="5"/>
      <c r="C20" s="4"/>
      <c r="D20" s="4"/>
      <c r="E20" s="4"/>
      <c r="F20" s="15"/>
    </row>
    <row r="21" spans="1:6" x14ac:dyDescent="0.15">
      <c r="A21" s="5"/>
      <c r="B21" s="5"/>
      <c r="C21" s="4"/>
      <c r="D21" s="4"/>
      <c r="E21" s="4"/>
      <c r="F21" s="15"/>
    </row>
    <row r="22" spans="1:6" x14ac:dyDescent="0.15">
      <c r="A22" s="5"/>
      <c r="B22" s="5"/>
      <c r="C22" s="4"/>
      <c r="D22" s="4"/>
      <c r="E22" s="4"/>
      <c r="F22" s="15"/>
    </row>
    <row r="23" spans="1:6" x14ac:dyDescent="0.15">
      <c r="A23" s="6"/>
      <c r="B23" s="5"/>
      <c r="C23" s="4"/>
      <c r="D23" s="4"/>
      <c r="E23" s="4"/>
      <c r="F23" s="15"/>
    </row>
    <row r="24" spans="1:6" x14ac:dyDescent="0.15">
      <c r="A24" s="5"/>
      <c r="B24" s="5"/>
      <c r="C24" s="4"/>
      <c r="D24" s="4"/>
      <c r="E24" s="4"/>
      <c r="F24" s="15"/>
    </row>
    <row r="25" spans="1:6" x14ac:dyDescent="0.15">
      <c r="A25" s="5"/>
      <c r="B25" s="5"/>
      <c r="C25" s="4"/>
      <c r="D25" s="4"/>
      <c r="E25" s="4"/>
      <c r="F25" s="15"/>
    </row>
    <row r="26" spans="1:6" x14ac:dyDescent="0.15">
      <c r="A26" s="5"/>
      <c r="B26" s="5"/>
      <c r="C26" s="4"/>
      <c r="D26" s="4"/>
      <c r="E26" s="4"/>
      <c r="F26" s="15"/>
    </row>
    <row r="27" spans="1:6" x14ac:dyDescent="0.15">
      <c r="A27" s="6"/>
      <c r="B27" s="5"/>
      <c r="C27" s="4"/>
      <c r="D27" s="4"/>
      <c r="E27" s="4"/>
      <c r="F27" s="15"/>
    </row>
    <row r="28" spans="1:6" x14ac:dyDescent="0.15">
      <c r="A28" s="5"/>
      <c r="B28" s="5"/>
      <c r="C28" s="4"/>
      <c r="D28" s="4"/>
      <c r="E28" s="4"/>
      <c r="F28" s="15"/>
    </row>
    <row r="29" spans="1:6" x14ac:dyDescent="0.15">
      <c r="A29" s="5"/>
      <c r="B29" s="5"/>
      <c r="C29" s="4"/>
      <c r="D29" s="4"/>
      <c r="E29" s="4"/>
      <c r="F29" s="15"/>
    </row>
    <row r="30" spans="1:6" x14ac:dyDescent="0.15">
      <c r="A30" s="5"/>
      <c r="B30" s="5"/>
      <c r="C30" s="4"/>
      <c r="D30" s="4"/>
      <c r="E30" s="4"/>
      <c r="F30" s="15"/>
    </row>
    <row r="31" spans="1:6" x14ac:dyDescent="0.15">
      <c r="A31" s="6"/>
      <c r="B31" s="5"/>
      <c r="C31" s="4"/>
      <c r="D31" s="4"/>
      <c r="E31" s="4"/>
      <c r="F31" s="15"/>
    </row>
    <row r="32" spans="1:6" x14ac:dyDescent="0.15">
      <c r="A32" s="5"/>
      <c r="B32" s="5"/>
      <c r="C32" s="4"/>
      <c r="D32" s="4"/>
      <c r="E32" s="4"/>
      <c r="F32" s="15"/>
    </row>
    <row r="33" spans="1:6" x14ac:dyDescent="0.15">
      <c r="A33" s="5"/>
      <c r="B33" s="5"/>
      <c r="C33" s="4"/>
      <c r="D33" s="4"/>
      <c r="E33" s="4"/>
      <c r="F33" s="15"/>
    </row>
    <row r="34" spans="1:6" x14ac:dyDescent="0.15">
      <c r="A34" s="5"/>
      <c r="B34" s="5"/>
      <c r="C34" s="4"/>
      <c r="D34" s="4"/>
      <c r="E34" s="4"/>
      <c r="F34" s="15"/>
    </row>
    <row r="35" spans="1:6" x14ac:dyDescent="0.15">
      <c r="A35" s="6"/>
      <c r="B35" s="5"/>
      <c r="C35" s="4"/>
      <c r="D35" s="4"/>
      <c r="E35" s="4"/>
      <c r="F35" s="15"/>
    </row>
    <row r="36" spans="1:6" x14ac:dyDescent="0.15">
      <c r="A36" s="6"/>
      <c r="B36" s="5"/>
      <c r="C36" s="4"/>
      <c r="D36" s="4"/>
      <c r="E36" s="4"/>
      <c r="F36" s="15"/>
    </row>
    <row r="37" spans="1:6" x14ac:dyDescent="0.15">
      <c r="A37" s="7"/>
      <c r="B37" s="7"/>
      <c r="C37" s="8"/>
      <c r="D37" s="8"/>
      <c r="E37" s="8"/>
    </row>
    <row r="38" spans="1:6" x14ac:dyDescent="0.15">
      <c r="A38" s="9"/>
      <c r="B38" s="9"/>
      <c r="C38" s="10"/>
      <c r="D38" s="10"/>
      <c r="E38" s="10"/>
    </row>
    <row r="39" spans="1:6" x14ac:dyDescent="0.15">
      <c r="A39" s="11"/>
      <c r="B39" s="9"/>
      <c r="C39" s="10"/>
      <c r="D39" s="10"/>
      <c r="E39" s="10"/>
    </row>
    <row r="40" spans="1:6" x14ac:dyDescent="0.15">
      <c r="A40" s="11"/>
      <c r="B40" s="9"/>
      <c r="C40" s="10"/>
      <c r="D40" s="10"/>
      <c r="E40" s="10"/>
    </row>
    <row r="41" spans="1:6" x14ac:dyDescent="0.15">
      <c r="A41" s="11"/>
      <c r="B41" s="9"/>
      <c r="C41" s="10"/>
      <c r="D41" s="10"/>
      <c r="E41" s="10"/>
    </row>
    <row r="42" spans="1:6" x14ac:dyDescent="0.15">
      <c r="A42" s="9"/>
      <c r="B42" s="9"/>
      <c r="C42" s="10"/>
      <c r="D42" s="10"/>
      <c r="E42" s="10"/>
    </row>
    <row r="43" spans="1:6" x14ac:dyDescent="0.15">
      <c r="A43" s="11"/>
      <c r="B43" s="9"/>
      <c r="C43" s="10"/>
      <c r="D43" s="10"/>
      <c r="E43" s="10"/>
    </row>
    <row r="44" spans="1:6" x14ac:dyDescent="0.15">
      <c r="A44" s="11"/>
      <c r="B44" s="9"/>
      <c r="C44" s="10"/>
      <c r="D44" s="10"/>
      <c r="E44" s="10"/>
    </row>
    <row r="45" spans="1:6" x14ac:dyDescent="0.15">
      <c r="A45" s="11"/>
      <c r="B45" s="9"/>
      <c r="C45" s="10"/>
      <c r="D45" s="10"/>
      <c r="E45" s="10"/>
    </row>
    <row r="46" spans="1:6" x14ac:dyDescent="0.15">
      <c r="A46" s="9"/>
      <c r="B46" s="11"/>
      <c r="C46" s="10"/>
      <c r="D46" s="10"/>
      <c r="E46" s="10"/>
    </row>
    <row r="47" spans="1:6" x14ac:dyDescent="0.15">
      <c r="A47" s="11"/>
      <c r="B47" s="11"/>
      <c r="C47" s="10"/>
      <c r="D47" s="10"/>
      <c r="E47" s="10"/>
    </row>
    <row r="48" spans="1:6" x14ac:dyDescent="0.15">
      <c r="A48" s="11"/>
      <c r="B48" s="11"/>
      <c r="C48" s="10"/>
      <c r="D48" s="10"/>
      <c r="E48" s="10"/>
    </row>
    <row r="49" spans="1:5" x14ac:dyDescent="0.15">
      <c r="A49" s="11"/>
      <c r="B49" s="11"/>
      <c r="C49" s="10"/>
      <c r="D49" s="10"/>
      <c r="E49" s="10"/>
    </row>
    <row r="50" spans="1:5" x14ac:dyDescent="0.15">
      <c r="A50" s="9"/>
      <c r="B50" s="11"/>
      <c r="C50" s="10"/>
      <c r="D50" s="10"/>
      <c r="E50" s="10"/>
    </row>
    <row r="51" spans="1:5" x14ac:dyDescent="0.15">
      <c r="A51" s="11"/>
      <c r="B51" s="11"/>
      <c r="C51" s="10"/>
      <c r="D51" s="10"/>
      <c r="E51" s="10"/>
    </row>
    <row r="52" spans="1:5" x14ac:dyDescent="0.15">
      <c r="A52" s="11"/>
      <c r="B52" s="11"/>
      <c r="C52" s="10"/>
      <c r="D52" s="10"/>
      <c r="E52" s="10"/>
    </row>
    <row r="53" spans="1:5" x14ac:dyDescent="0.15">
      <c r="A53" s="11"/>
      <c r="B53" s="11"/>
      <c r="C53" s="10"/>
      <c r="D53" s="10"/>
      <c r="E53" s="10"/>
    </row>
    <row r="54" spans="1:5" x14ac:dyDescent="0.15">
      <c r="A54" s="11"/>
      <c r="B54" s="11"/>
      <c r="C54" s="10"/>
      <c r="D54" s="10"/>
      <c r="E54" s="10"/>
    </row>
    <row r="55" spans="1:5" x14ac:dyDescent="0.15">
      <c r="A55" s="11"/>
      <c r="B55" s="11"/>
      <c r="C55" s="10"/>
      <c r="D55" s="10"/>
      <c r="E55" s="10"/>
    </row>
    <row r="56" spans="1:5" x14ac:dyDescent="0.15">
      <c r="A56" s="11"/>
      <c r="B56" s="11"/>
      <c r="C56" s="10"/>
      <c r="D56" s="10"/>
      <c r="E56" s="10"/>
    </row>
    <row r="57" spans="1:5" x14ac:dyDescent="0.15">
      <c r="A57" s="11"/>
      <c r="B57" s="11"/>
      <c r="C57" s="10"/>
      <c r="D57" s="10"/>
      <c r="E57" s="10"/>
    </row>
    <row r="58" spans="1:5" x14ac:dyDescent="0.15">
      <c r="A58" s="11"/>
      <c r="B58" s="11"/>
      <c r="C58" s="10"/>
      <c r="D58" s="10"/>
      <c r="E58" s="10"/>
    </row>
    <row r="59" spans="1:5" x14ac:dyDescent="0.15">
      <c r="A59" s="11"/>
      <c r="B59" s="11"/>
      <c r="C59" s="10"/>
      <c r="D59" s="10"/>
      <c r="E59" s="10"/>
    </row>
    <row r="60" spans="1:5" x14ac:dyDescent="0.15">
      <c r="A60" s="11"/>
      <c r="B60" s="11"/>
      <c r="C60" s="10"/>
      <c r="D60" s="10"/>
      <c r="E60" s="10"/>
    </row>
    <row r="61" spans="1:5" x14ac:dyDescent="0.15">
      <c r="A61" s="11"/>
      <c r="B61" s="11"/>
      <c r="C61" s="10"/>
      <c r="D61" s="10"/>
      <c r="E61" s="10"/>
    </row>
    <row r="62" spans="1:5" x14ac:dyDescent="0.15">
      <c r="A62" s="11"/>
      <c r="B62" s="11"/>
      <c r="C62" s="10"/>
      <c r="D62" s="10"/>
      <c r="E62" s="10"/>
    </row>
    <row r="63" spans="1:5" x14ac:dyDescent="0.15">
      <c r="A63" s="11"/>
      <c r="B63" s="11"/>
      <c r="C63" s="10"/>
      <c r="D63" s="10"/>
      <c r="E63" s="10"/>
    </row>
    <row r="64" spans="1:5" x14ac:dyDescent="0.15">
      <c r="A64" s="11"/>
      <c r="B64" s="11"/>
      <c r="C64" s="10"/>
      <c r="D64" s="10"/>
      <c r="E64" s="10"/>
    </row>
    <row r="65" spans="1:5" x14ac:dyDescent="0.15">
      <c r="A65" s="11"/>
      <c r="B65" s="11"/>
      <c r="C65" s="10"/>
      <c r="D65" s="10"/>
      <c r="E65" s="10"/>
    </row>
    <row r="66" spans="1:5" x14ac:dyDescent="0.15">
      <c r="A66" s="11"/>
      <c r="B66" s="11"/>
      <c r="C66" s="10"/>
      <c r="D66" s="10"/>
      <c r="E66" s="10"/>
    </row>
    <row r="67" spans="1:5" x14ac:dyDescent="0.15">
      <c r="A67" s="11"/>
      <c r="B67" s="11"/>
      <c r="C67" s="10"/>
      <c r="D67" s="10"/>
      <c r="E67" s="10"/>
    </row>
    <row r="68" spans="1:5" x14ac:dyDescent="0.15">
      <c r="A68" s="11"/>
      <c r="B68" s="11"/>
      <c r="C68" s="10"/>
      <c r="D68" s="10"/>
      <c r="E68" s="10"/>
    </row>
    <row r="69" spans="1:5" x14ac:dyDescent="0.15">
      <c r="A69" s="11"/>
      <c r="B69" s="11"/>
      <c r="C69" s="10"/>
      <c r="D69" s="10"/>
      <c r="E69" s="10"/>
    </row>
    <row r="70" spans="1:5" x14ac:dyDescent="0.15">
      <c r="A70" s="12"/>
      <c r="B70" s="11"/>
      <c r="C70" s="10"/>
      <c r="D70" s="10"/>
      <c r="E70" s="10"/>
    </row>
    <row r="71" spans="1:5" x14ac:dyDescent="0.15">
      <c r="A71" s="12"/>
      <c r="B71" s="11"/>
      <c r="C71" s="10"/>
      <c r="D71" s="10"/>
      <c r="E71" s="10"/>
    </row>
    <row r="72" spans="1:5" x14ac:dyDescent="0.15">
      <c r="A72" s="9"/>
      <c r="B72" s="11"/>
      <c r="C72" s="10"/>
      <c r="D72" s="10"/>
      <c r="E72" s="10"/>
    </row>
    <row r="73" spans="1:5" x14ac:dyDescent="0.15">
      <c r="E73" s="10"/>
    </row>
  </sheetData>
  <phoneticPr fontId="3" type="noConversion"/>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Pict="0" macro="[0]!LevelingSurveyDataClear">
                <anchor moveWithCells="1">
                  <from>
                    <xdr:col>7</xdr:col>
                    <xdr:colOff>381000</xdr:colOff>
                    <xdr:row>6</xdr:row>
                    <xdr:rowOff>0</xdr:rowOff>
                  </from>
                  <to>
                    <xdr:col>9</xdr:col>
                    <xdr:colOff>190500</xdr:colOff>
                    <xdr:row>7</xdr:row>
                    <xdr:rowOff>95250</xdr:rowOff>
                  </to>
                </anchor>
              </controlPr>
            </control>
          </mc:Choice>
        </mc:AlternateContent>
        <mc:AlternateContent xmlns:mc="http://schemas.openxmlformats.org/markup-compatibility/2006">
          <mc:Choice Requires="x14">
            <control shapeId="1026" r:id="rId5" name="Button 2">
              <controlPr defaultSize="0" print="0" autoPict="0" macro="[0]!AutoLevelingSurveyTransform">
                <anchor moveWithCells="1">
                  <from>
                    <xdr:col>7</xdr:col>
                    <xdr:colOff>371475</xdr:colOff>
                    <xdr:row>8</xdr:row>
                    <xdr:rowOff>38100</xdr:rowOff>
                  </from>
                  <to>
                    <xdr:col>9</xdr:col>
                    <xdr:colOff>209550</xdr:colOff>
                    <xdr:row>9</xdr:row>
                    <xdr:rowOff>152400</xdr:rowOff>
                  </to>
                </anchor>
              </controlPr>
            </control>
          </mc:Choice>
        </mc:AlternateContent>
        <mc:AlternateContent xmlns:mc="http://schemas.openxmlformats.org/markup-compatibility/2006">
          <mc:Choice Requires="x14">
            <control shapeId="1027" r:id="rId6" name="Button 3">
              <controlPr defaultSize="0" print="0" autoPict="0" macro="[0]!GetSurveyStationCounts">
                <anchor moveWithCells="1">
                  <from>
                    <xdr:col>9</xdr:col>
                    <xdr:colOff>600075</xdr:colOff>
                    <xdr:row>8</xdr:row>
                    <xdr:rowOff>19050</xdr:rowOff>
                  </from>
                  <to>
                    <xdr:col>11</xdr:col>
                    <xdr:colOff>714375</xdr:colOff>
                    <xdr:row>9</xdr:row>
                    <xdr:rowOff>123825</xdr:rowOff>
                  </to>
                </anchor>
              </controlPr>
            </control>
          </mc:Choice>
        </mc:AlternateContent>
        <mc:AlternateContent xmlns:mc="http://schemas.openxmlformats.org/markup-compatibility/2006">
          <mc:Choice Requires="x14">
            <control shapeId="1028" r:id="rId7" name="Button 4">
              <controlPr defaultSize="0" print="0" autoPict="0" macro="[0]!ManualSort">
                <anchor moveWithCells="1">
                  <from>
                    <xdr:col>11</xdr:col>
                    <xdr:colOff>2200275</xdr:colOff>
                    <xdr:row>8</xdr:row>
                    <xdr:rowOff>57150</xdr:rowOff>
                  </from>
                  <to>
                    <xdr:col>12</xdr:col>
                    <xdr:colOff>847725</xdr:colOff>
                    <xdr:row>9</xdr:row>
                    <xdr:rowOff>161925</xdr:rowOff>
                  </to>
                </anchor>
              </controlPr>
            </control>
          </mc:Choice>
        </mc:AlternateContent>
        <mc:AlternateContent xmlns:mc="http://schemas.openxmlformats.org/markup-compatibility/2006">
          <mc:Choice Requires="x14">
            <control shapeId="1029" r:id="rId8" name="Button 5">
              <controlPr defaultSize="0" print="0" autoPict="0" macro="[0]!LineUp">
                <anchor moveWithCells="1">
                  <from>
                    <xdr:col>11</xdr:col>
                    <xdr:colOff>2219325</xdr:colOff>
                    <xdr:row>11</xdr:row>
                    <xdr:rowOff>66675</xdr:rowOff>
                  </from>
                  <to>
                    <xdr:col>12</xdr:col>
                    <xdr:colOff>866775</xdr:colOff>
                    <xdr:row>13</xdr:row>
                    <xdr:rowOff>0</xdr:rowOff>
                  </to>
                </anchor>
              </controlPr>
            </control>
          </mc:Choice>
        </mc:AlternateContent>
        <mc:AlternateContent xmlns:mc="http://schemas.openxmlformats.org/markup-compatibility/2006">
          <mc:Choice Requires="x14">
            <control shapeId="1030" r:id="rId9" name="Button 6">
              <controlPr defaultSize="0" print="0" autoPict="0" macro="[0]!LineDown">
                <anchor moveWithCells="1">
                  <from>
                    <xdr:col>11</xdr:col>
                    <xdr:colOff>2228850</xdr:colOff>
                    <xdr:row>14</xdr:row>
                    <xdr:rowOff>9525</xdr:rowOff>
                  </from>
                  <to>
                    <xdr:col>12</xdr:col>
                    <xdr:colOff>876300</xdr:colOff>
                    <xdr:row>15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ColWidth="9" defaultRowHeight="13.5" x14ac:dyDescent="0.15"/>
  <sheetData/>
  <phoneticPr fontId="3" type="noConversion"/>
  <pageMargins left="0.69930555555555596" right="0.69930555555555596"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ColWidth="9" defaultRowHeight="13.5" x14ac:dyDescent="0.15"/>
  <sheetData/>
  <phoneticPr fontId="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73"/>
  <sheetViews>
    <sheetView workbookViewId="0">
      <selection sqref="A1:F73"/>
    </sheetView>
  </sheetViews>
  <sheetFormatPr defaultColWidth="9" defaultRowHeight="13.5" x14ac:dyDescent="0.15"/>
  <sheetData>
    <row r="1" spans="1:6" x14ac:dyDescent="0.15">
      <c r="A1" s="1" t="s">
        <v>0</v>
      </c>
      <c r="B1" s="1" t="s">
        <v>1</v>
      </c>
      <c r="C1" s="2" t="s">
        <v>2</v>
      </c>
      <c r="D1" s="2" t="s">
        <v>3</v>
      </c>
      <c r="E1" s="2" t="s">
        <v>4</v>
      </c>
      <c r="F1" s="2" t="s">
        <v>47</v>
      </c>
    </row>
    <row r="2" spans="1:6" x14ac:dyDescent="0.15">
      <c r="A2" s="3" t="s">
        <v>7</v>
      </c>
      <c r="B2" s="1" t="s">
        <v>8</v>
      </c>
      <c r="C2" s="4">
        <v>0</v>
      </c>
      <c r="D2" s="4">
        <v>1.8254699999999999</v>
      </c>
      <c r="E2" s="4">
        <v>0</v>
      </c>
      <c r="F2" s="4"/>
    </row>
    <row r="3" spans="1:6" x14ac:dyDescent="0.15">
      <c r="A3" s="3" t="s">
        <v>9</v>
      </c>
      <c r="B3" s="3" t="s">
        <v>7</v>
      </c>
      <c r="C3" s="4">
        <v>1.77895</v>
      </c>
      <c r="D3" s="4">
        <v>1.8254699999999999</v>
      </c>
      <c r="E3" s="4"/>
      <c r="F3" s="4"/>
    </row>
    <row r="4" spans="1:6" x14ac:dyDescent="0.15">
      <c r="A4" s="5" t="s">
        <v>11</v>
      </c>
      <c r="B4" s="3" t="s">
        <v>7</v>
      </c>
      <c r="C4" s="4">
        <v>1.4067499999999999</v>
      </c>
      <c r="D4" s="4">
        <v>1.8254699999999999</v>
      </c>
      <c r="E4" s="4"/>
      <c r="F4" s="4"/>
    </row>
    <row r="5" spans="1:6" x14ac:dyDescent="0.15">
      <c r="A5" s="5" t="s">
        <v>13</v>
      </c>
      <c r="B5" s="3" t="s">
        <v>7</v>
      </c>
      <c r="C5" s="4">
        <v>1.0507500000000001</v>
      </c>
      <c r="D5" s="4">
        <v>1.8254699999999999</v>
      </c>
      <c r="E5" s="4"/>
      <c r="F5" s="4"/>
    </row>
    <row r="6" spans="1:6" x14ac:dyDescent="0.15">
      <c r="A6" s="5" t="s">
        <v>15</v>
      </c>
      <c r="B6" s="3" t="s">
        <v>7</v>
      </c>
      <c r="C6" s="4">
        <v>0.67778000000000005</v>
      </c>
      <c r="D6" s="4">
        <v>1.8254699999999999</v>
      </c>
      <c r="E6" s="4"/>
      <c r="F6" s="4"/>
    </row>
    <row r="7" spans="1:6" x14ac:dyDescent="0.15">
      <c r="A7" s="5" t="s">
        <v>17</v>
      </c>
      <c r="B7" s="3" t="s">
        <v>7</v>
      </c>
      <c r="C7" s="4">
        <v>0.28165000000000001</v>
      </c>
      <c r="D7" s="4">
        <v>1.8254699999999999</v>
      </c>
      <c r="E7" s="4"/>
      <c r="F7" s="4"/>
    </row>
    <row r="8" spans="1:6" x14ac:dyDescent="0.15">
      <c r="A8" s="5" t="s">
        <v>18</v>
      </c>
      <c r="B8" s="5" t="s">
        <v>17</v>
      </c>
      <c r="C8" s="4">
        <v>1.372304</v>
      </c>
      <c r="D8" s="4">
        <v>1.9369799999999999</v>
      </c>
      <c r="E8" s="4"/>
      <c r="F8" s="4"/>
    </row>
    <row r="9" spans="1:6" x14ac:dyDescent="0.15">
      <c r="A9" s="5" t="s">
        <v>19</v>
      </c>
      <c r="B9" s="5" t="s">
        <v>17</v>
      </c>
      <c r="C9" s="4">
        <v>0.79220000000000002</v>
      </c>
      <c r="D9" s="4">
        <v>1.9369799999999999</v>
      </c>
      <c r="E9" s="4"/>
      <c r="F9" s="4"/>
    </row>
    <row r="10" spans="1:6" x14ac:dyDescent="0.15">
      <c r="A10" s="5" t="s">
        <v>20</v>
      </c>
      <c r="B10" s="5" t="s">
        <v>17</v>
      </c>
      <c r="C10" s="4">
        <v>0.32717000000000002</v>
      </c>
      <c r="D10" s="4">
        <v>1.9369799999999999</v>
      </c>
      <c r="E10" s="4"/>
      <c r="F10" s="4"/>
    </row>
    <row r="11" spans="1:6" x14ac:dyDescent="0.15">
      <c r="A11" s="5" t="s">
        <v>21</v>
      </c>
      <c r="B11" s="5" t="s">
        <v>20</v>
      </c>
      <c r="C11" s="4">
        <v>1.2381</v>
      </c>
      <c r="D11" s="4">
        <v>1.70262</v>
      </c>
      <c r="E11" s="4"/>
      <c r="F11" s="4"/>
    </row>
    <row r="12" spans="1:6" x14ac:dyDescent="0.15">
      <c r="A12" s="5" t="s">
        <v>22</v>
      </c>
      <c r="B12" s="5" t="s">
        <v>20</v>
      </c>
      <c r="C12" s="4">
        <v>0.43859999999999999</v>
      </c>
      <c r="D12" s="4">
        <v>1.70262</v>
      </c>
      <c r="E12" s="4"/>
      <c r="F12" s="4"/>
    </row>
    <row r="13" spans="1:6" x14ac:dyDescent="0.15">
      <c r="A13" s="5" t="s">
        <v>23</v>
      </c>
      <c r="B13" s="5" t="s">
        <v>22</v>
      </c>
      <c r="C13" s="4">
        <v>1.0815999999999999</v>
      </c>
      <c r="D13" s="4">
        <v>1.8492500000000001</v>
      </c>
      <c r="E13" s="4"/>
      <c r="F13" s="4"/>
    </row>
    <row r="14" spans="1:6" x14ac:dyDescent="0.15">
      <c r="A14" s="5" t="s">
        <v>24</v>
      </c>
      <c r="B14" s="5" t="s">
        <v>22</v>
      </c>
      <c r="C14" s="4">
        <v>0.32723999999999998</v>
      </c>
      <c r="D14" s="4">
        <v>1.8492500000000001</v>
      </c>
      <c r="E14" s="4"/>
      <c r="F14" s="4"/>
    </row>
    <row r="15" spans="1:6" x14ac:dyDescent="0.15">
      <c r="A15" s="5" t="s">
        <v>25</v>
      </c>
      <c r="B15" s="5" t="s">
        <v>24</v>
      </c>
      <c r="C15" s="4">
        <v>1.05416</v>
      </c>
      <c r="D15" s="4">
        <v>1.80108</v>
      </c>
      <c r="E15" s="4"/>
      <c r="F15" s="4"/>
    </row>
    <row r="16" spans="1:6" x14ac:dyDescent="0.15">
      <c r="A16" s="5" t="s">
        <v>26</v>
      </c>
      <c r="B16" s="5" t="s">
        <v>24</v>
      </c>
      <c r="C16" s="4">
        <v>0.26263999999999998</v>
      </c>
      <c r="D16" s="4">
        <v>1.80108</v>
      </c>
      <c r="E16" s="4"/>
      <c r="F16" s="4"/>
    </row>
    <row r="17" spans="1:6" x14ac:dyDescent="0.15">
      <c r="A17" s="5" t="s">
        <v>27</v>
      </c>
      <c r="B17" s="5" t="s">
        <v>26</v>
      </c>
      <c r="C17" s="4">
        <v>1.1208</v>
      </c>
      <c r="D17" s="4">
        <v>1.82931</v>
      </c>
      <c r="E17" s="4"/>
      <c r="F17" s="4"/>
    </row>
    <row r="18" spans="1:6" x14ac:dyDescent="0.15">
      <c r="A18" s="5" t="s">
        <v>28</v>
      </c>
      <c r="B18" s="5" t="s">
        <v>26</v>
      </c>
      <c r="C18" s="4">
        <v>0.61445000000000005</v>
      </c>
      <c r="D18" s="4">
        <v>1.82931</v>
      </c>
      <c r="E18" s="4"/>
      <c r="F18" s="4"/>
    </row>
    <row r="19" spans="1:6" x14ac:dyDescent="0.15">
      <c r="A19" s="5" t="s">
        <v>29</v>
      </c>
      <c r="B19" s="5" t="s">
        <v>28</v>
      </c>
      <c r="C19" s="4">
        <v>1.01024</v>
      </c>
      <c r="D19" s="4">
        <v>1.2912300000000001</v>
      </c>
      <c r="E19" s="4"/>
      <c r="F19" s="4"/>
    </row>
    <row r="20" spans="1:6" x14ac:dyDescent="0.15">
      <c r="A20" s="5" t="s">
        <v>30</v>
      </c>
      <c r="B20" s="5" t="s">
        <v>28</v>
      </c>
      <c r="C20" s="4">
        <v>0.98080000000000001</v>
      </c>
      <c r="D20" s="4">
        <v>1.2912300000000001</v>
      </c>
      <c r="E20" s="4"/>
      <c r="F20" s="4"/>
    </row>
    <row r="21" spans="1:6" x14ac:dyDescent="0.15">
      <c r="A21" s="5" t="s">
        <v>31</v>
      </c>
      <c r="B21" s="5" t="s">
        <v>30</v>
      </c>
      <c r="C21" s="4">
        <v>0.95082</v>
      </c>
      <c r="D21" s="4">
        <v>0.72650000000000003</v>
      </c>
      <c r="E21" s="4"/>
      <c r="F21" s="4"/>
    </row>
    <row r="22" spans="1:6" x14ac:dyDescent="0.15">
      <c r="A22" s="5" t="s">
        <v>32</v>
      </c>
      <c r="B22" s="5" t="s">
        <v>30</v>
      </c>
      <c r="C22" s="4">
        <v>1.3680399999999999</v>
      </c>
      <c r="D22" s="4">
        <v>0.72650000000000003</v>
      </c>
      <c r="E22" s="4"/>
      <c r="F22" s="4"/>
    </row>
    <row r="23" spans="1:6" x14ac:dyDescent="0.15">
      <c r="A23" s="6" t="s">
        <v>33</v>
      </c>
      <c r="B23" s="5" t="s">
        <v>32</v>
      </c>
      <c r="C23" s="4">
        <v>0.95609999999999995</v>
      </c>
      <c r="D23" s="4">
        <v>0.37664999999999998</v>
      </c>
      <c r="E23" s="4"/>
      <c r="F23" s="4"/>
    </row>
    <row r="24" spans="1:6" x14ac:dyDescent="0.15">
      <c r="A24" s="5" t="s">
        <v>34</v>
      </c>
      <c r="B24" s="5" t="s">
        <v>32</v>
      </c>
      <c r="C24" s="4">
        <v>1.6580699999999999</v>
      </c>
      <c r="D24" s="4">
        <v>0.37664999999999998</v>
      </c>
      <c r="E24" s="4"/>
      <c r="F24" s="4"/>
    </row>
    <row r="25" spans="1:6" x14ac:dyDescent="0.15">
      <c r="A25" s="5" t="s">
        <v>35</v>
      </c>
      <c r="B25" s="5" t="s">
        <v>34</v>
      </c>
      <c r="C25" s="4">
        <v>0.95318999999999998</v>
      </c>
      <c r="D25" s="4">
        <v>0.21537999999999999</v>
      </c>
      <c r="E25" s="4"/>
      <c r="F25" s="4"/>
    </row>
    <row r="26" spans="1:6" x14ac:dyDescent="0.15">
      <c r="A26" s="5" t="s">
        <v>36</v>
      </c>
      <c r="B26" s="5" t="s">
        <v>34</v>
      </c>
      <c r="C26" s="4">
        <v>1.74139</v>
      </c>
      <c r="D26" s="4">
        <v>0.21537999999999999</v>
      </c>
      <c r="E26" s="4"/>
      <c r="F26" s="4"/>
    </row>
    <row r="27" spans="1:6" x14ac:dyDescent="0.15">
      <c r="A27" s="6" t="s">
        <v>37</v>
      </c>
      <c r="B27" s="5" t="s">
        <v>36</v>
      </c>
      <c r="C27" s="4">
        <v>0.88936000000000004</v>
      </c>
      <c r="D27" s="4">
        <v>9.5159999999999995E-2</v>
      </c>
      <c r="E27" s="4"/>
      <c r="F27" s="4"/>
    </row>
    <row r="28" spans="1:6" x14ac:dyDescent="0.15">
      <c r="A28" s="5" t="s">
        <v>38</v>
      </c>
      <c r="B28" s="5" t="s">
        <v>36</v>
      </c>
      <c r="C28" s="4">
        <v>1.3960999999999999</v>
      </c>
      <c r="D28" s="4">
        <v>9.5159999999999995E-2</v>
      </c>
      <c r="E28" s="4"/>
      <c r="F28" s="4"/>
    </row>
    <row r="29" spans="1:6" x14ac:dyDescent="0.15">
      <c r="A29" s="5" t="s">
        <v>39</v>
      </c>
      <c r="B29" s="5" t="s">
        <v>38</v>
      </c>
      <c r="C29" s="4">
        <v>0.87478</v>
      </c>
      <c r="D29" s="4">
        <v>0.38934999999999997</v>
      </c>
      <c r="E29" s="4"/>
      <c r="F29" s="4"/>
    </row>
    <row r="30" spans="1:6" x14ac:dyDescent="0.15">
      <c r="A30" s="5" t="s">
        <v>40</v>
      </c>
      <c r="B30" s="5" t="s">
        <v>38</v>
      </c>
      <c r="C30" s="4">
        <v>1.42425</v>
      </c>
      <c r="D30" s="4">
        <v>0.38934999999999997</v>
      </c>
      <c r="E30" s="4"/>
      <c r="F30" s="4"/>
    </row>
    <row r="31" spans="1:6" x14ac:dyDescent="0.15">
      <c r="A31" s="6" t="s">
        <v>41</v>
      </c>
      <c r="B31" s="5" t="s">
        <v>40</v>
      </c>
      <c r="C31" s="4">
        <v>0.91847000000000001</v>
      </c>
      <c r="D31" s="4">
        <v>0.39389999999999997</v>
      </c>
      <c r="E31" s="4"/>
      <c r="F31" s="4"/>
    </row>
    <row r="32" spans="1:6" x14ac:dyDescent="0.15">
      <c r="A32" s="5" t="s">
        <v>42</v>
      </c>
      <c r="B32" s="5" t="s">
        <v>40</v>
      </c>
      <c r="C32" s="4">
        <v>1.3623000000000001</v>
      </c>
      <c r="D32" s="4">
        <v>0.39389999999999997</v>
      </c>
      <c r="E32" s="4"/>
      <c r="F32" s="4"/>
    </row>
    <row r="33" spans="1:6" x14ac:dyDescent="0.15">
      <c r="A33" s="5" t="s">
        <v>43</v>
      </c>
      <c r="B33" s="5" t="s">
        <v>40</v>
      </c>
      <c r="C33" s="4">
        <v>1.8062100000000001</v>
      </c>
      <c r="D33" s="4">
        <v>0.39389999999999997</v>
      </c>
      <c r="E33" s="4"/>
      <c r="F33" s="4"/>
    </row>
    <row r="34" spans="1:6" x14ac:dyDescent="0.15">
      <c r="A34" s="5" t="s">
        <v>44</v>
      </c>
      <c r="B34" s="5" t="s">
        <v>43</v>
      </c>
      <c r="C34" s="4">
        <v>0.95857000000000003</v>
      </c>
      <c r="D34" s="4">
        <v>0.52375000000000005</v>
      </c>
      <c r="E34" s="4"/>
      <c r="F34" s="4"/>
    </row>
    <row r="35" spans="1:6" x14ac:dyDescent="0.15">
      <c r="A35" s="6" t="s">
        <v>45</v>
      </c>
      <c r="B35" s="5" t="s">
        <v>43</v>
      </c>
      <c r="C35" s="4">
        <v>1.3593599999999999</v>
      </c>
      <c r="D35" s="4">
        <v>0.52375000000000005</v>
      </c>
      <c r="E35" s="4"/>
      <c r="F35" s="4"/>
    </row>
    <row r="36" spans="1:6" x14ac:dyDescent="0.15">
      <c r="A36" s="6" t="s">
        <v>46</v>
      </c>
      <c r="B36" s="5" t="s">
        <v>43</v>
      </c>
      <c r="C36" s="4">
        <v>1.4539500000000001</v>
      </c>
      <c r="D36" s="4">
        <v>0.52375000000000005</v>
      </c>
      <c r="E36" s="4"/>
      <c r="F36" s="4"/>
    </row>
    <row r="37" spans="1:6" x14ac:dyDescent="0.15">
      <c r="A37" s="7" t="s">
        <v>43</v>
      </c>
      <c r="B37" s="7" t="s">
        <v>8</v>
      </c>
      <c r="C37" s="8">
        <v>0</v>
      </c>
      <c r="D37" s="8">
        <v>0.52375000000000005</v>
      </c>
      <c r="E37" s="8">
        <v>1.80627</v>
      </c>
    </row>
    <row r="38" spans="1:6" x14ac:dyDescent="0.15">
      <c r="A38" s="9" t="s">
        <v>48</v>
      </c>
      <c r="B38" s="9" t="s">
        <v>43</v>
      </c>
      <c r="C38" s="10">
        <v>1.84517</v>
      </c>
      <c r="D38" s="10">
        <v>0.52375000000000005</v>
      </c>
      <c r="E38" s="10">
        <v>0.48485</v>
      </c>
    </row>
    <row r="39" spans="1:6" x14ac:dyDescent="0.15">
      <c r="A39" s="9" t="s">
        <v>49</v>
      </c>
      <c r="B39" s="9" t="s">
        <v>43</v>
      </c>
      <c r="C39" s="10">
        <v>1.7465999999999999</v>
      </c>
      <c r="D39" s="10">
        <v>0.52375000000000005</v>
      </c>
      <c r="E39" s="10">
        <v>0.58342000000000005</v>
      </c>
    </row>
    <row r="40" spans="1:6" x14ac:dyDescent="0.15">
      <c r="A40" s="11" t="s">
        <v>50</v>
      </c>
      <c r="B40" s="9" t="s">
        <v>49</v>
      </c>
      <c r="C40" s="10">
        <v>1.58779</v>
      </c>
      <c r="D40" s="10">
        <v>1.98752</v>
      </c>
      <c r="E40" s="10">
        <v>0.98314999999999997</v>
      </c>
    </row>
    <row r="41" spans="1:6" x14ac:dyDescent="0.15">
      <c r="A41" s="11" t="s">
        <v>51</v>
      </c>
      <c r="B41" s="9" t="s">
        <v>49</v>
      </c>
      <c r="C41" s="10">
        <v>1.1298999999999999</v>
      </c>
      <c r="D41" s="10">
        <v>1.98752</v>
      </c>
      <c r="E41" s="10">
        <v>1.4410400000000001</v>
      </c>
    </row>
    <row r="42" spans="1:6" x14ac:dyDescent="0.15">
      <c r="A42" s="11" t="s">
        <v>52</v>
      </c>
      <c r="B42" s="9" t="s">
        <v>49</v>
      </c>
      <c r="C42" s="10">
        <v>0.70047999999999999</v>
      </c>
      <c r="D42" s="10">
        <v>1.98752</v>
      </c>
      <c r="E42" s="10">
        <v>1.87046</v>
      </c>
    </row>
    <row r="43" spans="1:6" x14ac:dyDescent="0.15">
      <c r="A43" s="9" t="s">
        <v>53</v>
      </c>
      <c r="B43" s="9" t="s">
        <v>49</v>
      </c>
      <c r="C43" s="10">
        <v>0.27089000000000002</v>
      </c>
      <c r="D43" s="10">
        <v>1.98752</v>
      </c>
      <c r="E43" s="10">
        <v>2.3000500000000001</v>
      </c>
    </row>
    <row r="44" spans="1:6" x14ac:dyDescent="0.15">
      <c r="A44" s="11" t="s">
        <v>54</v>
      </c>
      <c r="B44" s="9" t="s">
        <v>53</v>
      </c>
      <c r="C44" s="10">
        <v>1.1756500000000001</v>
      </c>
      <c r="D44" s="10">
        <v>1.73458</v>
      </c>
      <c r="E44" s="10">
        <v>2.8589799999999999</v>
      </c>
    </row>
    <row r="45" spans="1:6" x14ac:dyDescent="0.15">
      <c r="A45" s="11" t="s">
        <v>55</v>
      </c>
      <c r="B45" s="9" t="s">
        <v>53</v>
      </c>
      <c r="C45" s="10">
        <v>0.66288999999999998</v>
      </c>
      <c r="D45" s="10">
        <v>1.73458</v>
      </c>
      <c r="E45" s="10">
        <v>3.37174</v>
      </c>
    </row>
    <row r="46" spans="1:6" x14ac:dyDescent="0.15">
      <c r="A46" s="11" t="s">
        <v>56</v>
      </c>
      <c r="B46" s="9" t="s">
        <v>53</v>
      </c>
      <c r="C46" s="10">
        <v>0.16822999999999999</v>
      </c>
      <c r="D46" s="10">
        <v>1.73458</v>
      </c>
      <c r="E46" s="10">
        <v>3.8664000000000001</v>
      </c>
    </row>
    <row r="47" spans="1:6" x14ac:dyDescent="0.15">
      <c r="A47" s="9" t="s">
        <v>57</v>
      </c>
      <c r="B47" s="11" t="s">
        <v>56</v>
      </c>
      <c r="C47" s="10">
        <v>1.0580700000000001</v>
      </c>
      <c r="D47" s="10">
        <v>1.5730999999999999</v>
      </c>
      <c r="E47" s="10">
        <v>4.3814299999999999</v>
      </c>
    </row>
    <row r="48" spans="1:6" x14ac:dyDescent="0.15">
      <c r="A48" s="11" t="s">
        <v>58</v>
      </c>
      <c r="B48" s="11" t="s">
        <v>56</v>
      </c>
      <c r="C48" s="10">
        <v>0.27329999999999999</v>
      </c>
      <c r="D48" s="10">
        <v>1.5730999999999999</v>
      </c>
      <c r="E48" s="10">
        <v>5.1661999999999999</v>
      </c>
    </row>
    <row r="49" spans="1:5" x14ac:dyDescent="0.15">
      <c r="A49" s="11" t="s">
        <v>59</v>
      </c>
      <c r="B49" s="11" t="s">
        <v>58</v>
      </c>
      <c r="C49" s="10">
        <v>1.04966</v>
      </c>
      <c r="D49" s="10">
        <v>1.84415</v>
      </c>
      <c r="E49" s="10">
        <v>5.9606899999999996</v>
      </c>
    </row>
    <row r="50" spans="1:5" x14ac:dyDescent="0.15">
      <c r="A50" s="11" t="s">
        <v>60</v>
      </c>
      <c r="B50" s="11" t="s">
        <v>58</v>
      </c>
      <c r="C50" s="10">
        <v>0.29499999999999998</v>
      </c>
      <c r="D50" s="10">
        <v>1.84415</v>
      </c>
      <c r="E50" s="10">
        <v>6.7153499999999999</v>
      </c>
    </row>
    <row r="51" spans="1:5" x14ac:dyDescent="0.15">
      <c r="A51" s="9" t="s">
        <v>61</v>
      </c>
      <c r="B51" s="11" t="s">
        <v>60</v>
      </c>
      <c r="C51" s="10">
        <v>0.96472000000000002</v>
      </c>
      <c r="D51" s="10">
        <v>1.64639</v>
      </c>
      <c r="E51" s="10">
        <v>7.3970200000000004</v>
      </c>
    </row>
    <row r="52" spans="1:5" x14ac:dyDescent="0.15">
      <c r="A52" s="11" t="s">
        <v>62</v>
      </c>
      <c r="B52" s="11" t="s">
        <v>60</v>
      </c>
      <c r="C52" s="10">
        <v>0.38435000000000002</v>
      </c>
      <c r="D52" s="10">
        <v>1.64639</v>
      </c>
      <c r="E52" s="10">
        <v>7.9773899999999998</v>
      </c>
    </row>
    <row r="53" spans="1:5" x14ac:dyDescent="0.15">
      <c r="A53" s="11" t="s">
        <v>63</v>
      </c>
      <c r="B53" s="11" t="s">
        <v>62</v>
      </c>
      <c r="C53" s="10">
        <v>1.0925800000000001</v>
      </c>
      <c r="D53" s="10">
        <v>1.5009399999999999</v>
      </c>
      <c r="E53" s="10">
        <v>8.3857499999999998</v>
      </c>
    </row>
    <row r="54" spans="1:5" x14ac:dyDescent="0.15">
      <c r="A54" s="11" t="s">
        <v>64</v>
      </c>
      <c r="B54" s="11" t="s">
        <v>62</v>
      </c>
      <c r="C54" s="10">
        <v>0.85845000000000005</v>
      </c>
      <c r="D54" s="10">
        <v>1.5009399999999999</v>
      </c>
      <c r="E54" s="10">
        <v>8.6198800000000002</v>
      </c>
    </row>
    <row r="55" spans="1:5" x14ac:dyDescent="0.15">
      <c r="A55" s="11" t="s">
        <v>65</v>
      </c>
      <c r="B55" s="11" t="s">
        <v>64</v>
      </c>
      <c r="C55" s="10">
        <v>1.09531</v>
      </c>
      <c r="D55" s="10">
        <v>1.06684</v>
      </c>
      <c r="E55" s="10">
        <v>8.5914099999999998</v>
      </c>
    </row>
    <row r="56" spans="1:5" x14ac:dyDescent="0.15">
      <c r="A56" s="11" t="s">
        <v>66</v>
      </c>
      <c r="B56" s="11" t="s">
        <v>64</v>
      </c>
      <c r="C56" s="10">
        <v>1.33911</v>
      </c>
      <c r="D56" s="10">
        <v>1.06684</v>
      </c>
      <c r="E56" s="10">
        <v>8.3476099999999995</v>
      </c>
    </row>
    <row r="57" spans="1:5" x14ac:dyDescent="0.15">
      <c r="A57" s="11" t="s">
        <v>67</v>
      </c>
      <c r="B57" s="11" t="s">
        <v>66</v>
      </c>
      <c r="C57" s="10">
        <v>1.1303000000000001</v>
      </c>
      <c r="D57" s="10">
        <v>0.57299999999999995</v>
      </c>
      <c r="E57" s="10">
        <v>7.7903099999999998</v>
      </c>
    </row>
    <row r="58" spans="1:5" x14ac:dyDescent="0.15">
      <c r="A58" s="11" t="s">
        <v>68</v>
      </c>
      <c r="B58" s="11" t="s">
        <v>66</v>
      </c>
      <c r="C58" s="10">
        <v>1.8366100000000001</v>
      </c>
      <c r="D58" s="10">
        <v>0.57299999999999995</v>
      </c>
      <c r="E58" s="10">
        <v>7.0839999999999996</v>
      </c>
    </row>
    <row r="59" spans="1:5" x14ac:dyDescent="0.15">
      <c r="A59" s="11" t="s">
        <v>69</v>
      </c>
      <c r="B59" s="11" t="s">
        <v>68</v>
      </c>
      <c r="C59" s="10">
        <v>1.0744499999999999</v>
      </c>
      <c r="D59" s="10">
        <v>0.29299999999999998</v>
      </c>
      <c r="E59" s="10">
        <v>6.3025500000000001</v>
      </c>
    </row>
    <row r="60" spans="1:5" x14ac:dyDescent="0.15">
      <c r="A60" s="11" t="s">
        <v>70</v>
      </c>
      <c r="B60" s="11" t="s">
        <v>68</v>
      </c>
      <c r="C60" s="10">
        <v>1.81203</v>
      </c>
      <c r="D60" s="10">
        <v>0.29299999999999998</v>
      </c>
      <c r="E60" s="10">
        <v>5.5649699999999998</v>
      </c>
    </row>
    <row r="61" spans="1:5" x14ac:dyDescent="0.15">
      <c r="A61" s="11" t="s">
        <v>71</v>
      </c>
      <c r="B61" s="11" t="s">
        <v>70</v>
      </c>
      <c r="C61" s="10">
        <v>1.01623</v>
      </c>
      <c r="D61" s="10">
        <v>0.27631</v>
      </c>
      <c r="E61" s="10">
        <v>4.8250500000000001</v>
      </c>
    </row>
    <row r="62" spans="1:5" x14ac:dyDescent="0.15">
      <c r="A62" s="11" t="s">
        <v>72</v>
      </c>
      <c r="B62" s="11" t="s">
        <v>70</v>
      </c>
      <c r="C62" s="10">
        <v>1.7976000000000001</v>
      </c>
      <c r="D62" s="10">
        <v>0.27631</v>
      </c>
      <c r="E62" s="10">
        <v>4.0436800000000002</v>
      </c>
    </row>
    <row r="63" spans="1:5" x14ac:dyDescent="0.15">
      <c r="A63" s="11" t="s">
        <v>73</v>
      </c>
      <c r="B63" s="11" t="s">
        <v>72</v>
      </c>
      <c r="C63" s="10">
        <v>1.0343500000000001</v>
      </c>
      <c r="D63" s="10">
        <v>0.2424</v>
      </c>
      <c r="E63" s="10">
        <v>3.2517299999999998</v>
      </c>
    </row>
    <row r="64" spans="1:5" x14ac:dyDescent="0.15">
      <c r="A64" s="11" t="s">
        <v>74</v>
      </c>
      <c r="B64" s="11" t="s">
        <v>72</v>
      </c>
      <c r="C64" s="10">
        <v>1.53057</v>
      </c>
      <c r="D64" s="10">
        <v>0.2424</v>
      </c>
      <c r="E64" s="10">
        <v>2.7555100000000001</v>
      </c>
    </row>
    <row r="65" spans="1:5" x14ac:dyDescent="0.15">
      <c r="A65" s="11" t="s">
        <v>75</v>
      </c>
      <c r="B65" s="11" t="s">
        <v>74</v>
      </c>
      <c r="C65" s="10">
        <v>1.0866</v>
      </c>
      <c r="D65" s="10">
        <v>0.62917999999999996</v>
      </c>
      <c r="E65" s="10">
        <v>2.2980900000000002</v>
      </c>
    </row>
    <row r="66" spans="1:5" x14ac:dyDescent="0.15">
      <c r="A66" s="11" t="s">
        <v>76</v>
      </c>
      <c r="B66" s="11" t="s">
        <v>74</v>
      </c>
      <c r="C66" s="10">
        <v>1.62171</v>
      </c>
      <c r="D66" s="10">
        <v>0.62917999999999996</v>
      </c>
      <c r="E66" s="10">
        <v>1.76298</v>
      </c>
    </row>
    <row r="67" spans="1:5" x14ac:dyDescent="0.15">
      <c r="A67" s="11" t="s">
        <v>77</v>
      </c>
      <c r="B67" s="11" t="s">
        <v>76</v>
      </c>
      <c r="C67" s="10">
        <v>1.11053</v>
      </c>
      <c r="D67" s="10">
        <v>0.52434000000000003</v>
      </c>
      <c r="E67" s="10">
        <v>1.17679</v>
      </c>
    </row>
    <row r="68" spans="1:5" x14ac:dyDescent="0.15">
      <c r="A68" s="11" t="s">
        <v>78</v>
      </c>
      <c r="B68" s="11" t="s">
        <v>76</v>
      </c>
      <c r="C68" s="10">
        <v>1.54542</v>
      </c>
      <c r="D68" s="10">
        <v>0.52434000000000003</v>
      </c>
      <c r="E68" s="10">
        <v>0.741900000000001</v>
      </c>
    </row>
    <row r="69" spans="1:5" x14ac:dyDescent="0.15">
      <c r="A69" s="11" t="s">
        <v>79</v>
      </c>
      <c r="B69" s="11" t="s">
        <v>76</v>
      </c>
      <c r="C69" s="10">
        <v>1.93085</v>
      </c>
      <c r="D69" s="10">
        <v>0.52434000000000003</v>
      </c>
      <c r="E69" s="10">
        <v>0.35647000000000101</v>
      </c>
    </row>
    <row r="70" spans="1:5" x14ac:dyDescent="0.15">
      <c r="A70" s="11" t="s">
        <v>80</v>
      </c>
      <c r="B70" s="11" t="s">
        <v>79</v>
      </c>
      <c r="C70" s="10">
        <v>1.15852</v>
      </c>
      <c r="D70" s="10">
        <v>0.77568000000000004</v>
      </c>
      <c r="E70" s="10">
        <v>-2.6369999999998901E-2</v>
      </c>
    </row>
    <row r="71" spans="1:5" x14ac:dyDescent="0.15">
      <c r="A71" s="12" t="s">
        <v>81</v>
      </c>
      <c r="B71" s="11" t="s">
        <v>80</v>
      </c>
      <c r="C71" s="10">
        <v>1.2952999999999999</v>
      </c>
      <c r="D71" s="10">
        <v>1.0675600000000001</v>
      </c>
      <c r="E71" s="10">
        <v>-0.254109999999999</v>
      </c>
    </row>
    <row r="72" spans="1:5" x14ac:dyDescent="0.15">
      <c r="A72" s="12" t="s">
        <v>82</v>
      </c>
      <c r="B72" s="11" t="s">
        <v>80</v>
      </c>
      <c r="C72" s="10">
        <v>1.36602</v>
      </c>
      <c r="D72" s="10">
        <v>1.0675600000000001</v>
      </c>
      <c r="E72" s="10">
        <v>-0.32482999999999901</v>
      </c>
    </row>
    <row r="73" spans="1:5" x14ac:dyDescent="0.15">
      <c r="A73" s="9" t="s">
        <v>7</v>
      </c>
      <c r="B73" s="11" t="s">
        <v>80</v>
      </c>
      <c r="C73" s="10">
        <v>1.0369999999999999</v>
      </c>
      <c r="D73" s="10">
        <v>1.0675600000000001</v>
      </c>
      <c r="E73" s="10">
        <v>4.19000000000125E-3</v>
      </c>
    </row>
  </sheetData>
  <phoneticPr fontId="3" type="noConversion"/>
  <pageMargins left="0.75" right="0.75" top="1" bottom="1" header="0.51180555555555596" footer="0.511805555555555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草稿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林迪南</cp:lastModifiedBy>
  <dcterms:created xsi:type="dcterms:W3CDTF">2020-05-31T01:10:00Z</dcterms:created>
  <dcterms:modified xsi:type="dcterms:W3CDTF">2020-08-02T03:29:05Z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2052-10.8.0.6308</vt:lpwstr>
  </property>
</Properties>
</file>