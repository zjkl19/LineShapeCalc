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Sheet1" sheetId="1" r:id="rId1"/>
    <sheet name="Sheet2" sheetId="2" r:id="rId2"/>
    <sheet name="Sheet3" sheetId="3" r:id="rId3"/>
    <sheet name="草稿" sheetId="4" r:id="rId4"/>
  </sheets>
  <calcPr calcId="144525" concurrentCalc="0"/>
</workbook>
</file>

<file path=xl/sharedStrings.xml><?xml version="1.0" encoding="utf-8"?>
<sst xmlns="http://schemas.openxmlformats.org/spreadsheetml/2006/main" count="148">
  <si>
    <t>测点</t>
  </si>
  <si>
    <t>后视点</t>
  </si>
  <si>
    <t>前示读数（m)</t>
  </si>
  <si>
    <t>后示读数（m)</t>
  </si>
  <si>
    <t>高程（m)</t>
  </si>
  <si>
    <t>高差改正数（m)</t>
  </si>
  <si>
    <t>改正后高程（m)</t>
  </si>
  <si>
    <t>18#大</t>
  </si>
  <si>
    <t>18#小</t>
  </si>
  <si>
    <t>测站数（自动计算）</t>
  </si>
  <si>
    <t>17#3/4</t>
  </si>
  <si>
    <t>闭合差</t>
  </si>
  <si>
    <t>17#2/4</t>
  </si>
  <si>
    <t>水准路线长度（km)</t>
  </si>
  <si>
    <t>17#1/4</t>
  </si>
  <si>
    <t>容许闭合差（mm，二等水准）</t>
  </si>
  <si>
    <t>17#</t>
  </si>
  <si>
    <t>16#3/4</t>
  </si>
  <si>
    <t>16#2/4</t>
  </si>
  <si>
    <t>16#1/4</t>
  </si>
  <si>
    <t>16#</t>
  </si>
  <si>
    <t>15#3/4</t>
  </si>
  <si>
    <t>15#2/4</t>
  </si>
  <si>
    <t>15#1/4</t>
  </si>
  <si>
    <t>15#</t>
  </si>
  <si>
    <t>14#7/8</t>
  </si>
  <si>
    <t>14#6/8</t>
  </si>
  <si>
    <t>14#5/8</t>
  </si>
  <si>
    <t>14#4/8</t>
  </si>
  <si>
    <t>14#3/8</t>
  </si>
  <si>
    <t>14#2/8</t>
  </si>
  <si>
    <t>14#1/8</t>
  </si>
  <si>
    <t>14#</t>
  </si>
  <si>
    <t>13#3/4</t>
  </si>
  <si>
    <t>13#2/4</t>
  </si>
  <si>
    <t>13#1/4</t>
  </si>
  <si>
    <t>13#</t>
  </si>
  <si>
    <t>12#3/4</t>
  </si>
  <si>
    <t>12#2/4</t>
  </si>
  <si>
    <t>12#1/4</t>
  </si>
  <si>
    <t>12#</t>
  </si>
  <si>
    <t>11#3/4</t>
  </si>
  <si>
    <t>11#2/4</t>
  </si>
  <si>
    <t>11#1/4</t>
  </si>
  <si>
    <t>11#大</t>
  </si>
  <si>
    <t>11#小</t>
  </si>
  <si>
    <t>人行道T11#小</t>
  </si>
  <si>
    <t>T11#大</t>
  </si>
  <si>
    <t>T11#1/4</t>
  </si>
  <si>
    <t>T11#2/4</t>
  </si>
  <si>
    <t>T11#3/4</t>
  </si>
  <si>
    <t>T12#</t>
  </si>
  <si>
    <t>T12#1/4</t>
  </si>
  <si>
    <t>T12#2/4</t>
  </si>
  <si>
    <t>T12#3/4</t>
  </si>
  <si>
    <t>T13#</t>
  </si>
  <si>
    <t>T12#2/5</t>
  </si>
  <si>
    <t>T13#1/4</t>
  </si>
  <si>
    <t>T13#2/4</t>
  </si>
  <si>
    <t>T13#3/4</t>
  </si>
  <si>
    <t>T14#</t>
  </si>
  <si>
    <t>T14#1/8</t>
  </si>
  <si>
    <t>T14#2/8</t>
  </si>
  <si>
    <t>T14#3/8</t>
  </si>
  <si>
    <t>T14#4/8</t>
  </si>
  <si>
    <t>T14#5/8</t>
  </si>
  <si>
    <t>T14#6/8</t>
  </si>
  <si>
    <t>T14#7/8</t>
  </si>
  <si>
    <t>T15#</t>
  </si>
  <si>
    <t>T15#1/4</t>
  </si>
  <si>
    <t>T15#2/4</t>
  </si>
  <si>
    <t>T15#3/4</t>
  </si>
  <si>
    <t>T16#</t>
  </si>
  <si>
    <t>T16#1/4</t>
  </si>
  <si>
    <t>T16#2/4</t>
  </si>
  <si>
    <t>T16#3/4</t>
  </si>
  <si>
    <t>T17#</t>
  </si>
  <si>
    <t>T17#1/4</t>
  </si>
  <si>
    <t>T17#2/4</t>
  </si>
  <si>
    <t>T17#3/4</t>
  </si>
  <si>
    <t>T18#小</t>
  </si>
  <si>
    <t>T18#大</t>
  </si>
  <si>
    <t>改正高差（m)</t>
  </si>
  <si>
    <t>ZK-18-2#</t>
  </si>
  <si>
    <t>/</t>
  </si>
  <si>
    <t>ZK-18-1#</t>
  </si>
  <si>
    <t>ZK-17-3/4</t>
  </si>
  <si>
    <t>ZK-17-2/4</t>
  </si>
  <si>
    <t>ZK-17-1/4</t>
  </si>
  <si>
    <t>ZK-17#</t>
  </si>
  <si>
    <t>ZK-16-3/4</t>
  </si>
  <si>
    <t>ZK-16-2/4</t>
  </si>
  <si>
    <t>ZK-16-1/4</t>
  </si>
  <si>
    <t>ZK-16#</t>
  </si>
  <si>
    <t>ZK-15-3/4</t>
  </si>
  <si>
    <t>ZK-15-2/4</t>
  </si>
  <si>
    <t>ZK-15-1/4</t>
  </si>
  <si>
    <t>ZK-15#</t>
  </si>
  <si>
    <t>ZK-14-7/8</t>
  </si>
  <si>
    <t>ZK-14-6/8</t>
  </si>
  <si>
    <t>ZK-14-5/8</t>
  </si>
  <si>
    <t>ZK-14-4/8</t>
  </si>
  <si>
    <t>ZK-14-3/8</t>
  </si>
  <si>
    <t>ZK-14-2/8</t>
  </si>
  <si>
    <t>ZK-14-1/8</t>
  </si>
  <si>
    <t>ZK-14#</t>
  </si>
  <si>
    <t>ZK-13-3/4</t>
  </si>
  <si>
    <t>ZK-13-2/4</t>
  </si>
  <si>
    <t>ZK-13-1/4</t>
  </si>
  <si>
    <t>ZK-13#</t>
  </si>
  <si>
    <t>ZK-12-3/4</t>
  </si>
  <si>
    <t>ZK-12-2/4</t>
  </si>
  <si>
    <t>ZK-12-1/4</t>
  </si>
  <si>
    <t>ZK-12#</t>
  </si>
  <si>
    <t>ZK-11-3/4</t>
  </si>
  <si>
    <t>ZK-11-2/4</t>
  </si>
  <si>
    <t>ZK-11-1/4</t>
  </si>
  <si>
    <t>ZK-11-2#</t>
  </si>
  <si>
    <t>ZK-11-1#</t>
  </si>
  <si>
    <t>11-1#</t>
  </si>
  <si>
    <t>11-2#</t>
  </si>
  <si>
    <t>11-1/4</t>
  </si>
  <si>
    <t>11-2/4</t>
  </si>
  <si>
    <t>11-3/4</t>
  </si>
  <si>
    <t>12-1/4</t>
  </si>
  <si>
    <t>12-2/4</t>
  </si>
  <si>
    <t>12-3/4</t>
  </si>
  <si>
    <t>13-1/4</t>
  </si>
  <si>
    <t>13-2/4</t>
  </si>
  <si>
    <t>13-3/4</t>
  </si>
  <si>
    <t>14-1/8</t>
  </si>
  <si>
    <t>14-2/8</t>
  </si>
  <si>
    <t>14-3/8</t>
  </si>
  <si>
    <t>14-4/8</t>
  </si>
  <si>
    <t>14-5/8</t>
  </si>
  <si>
    <t>14-6/8</t>
  </si>
  <si>
    <t>14-7/8</t>
  </si>
  <si>
    <t>15-1/4</t>
  </si>
  <si>
    <t>15-2/4</t>
  </si>
  <si>
    <t>15-3/4</t>
  </si>
  <si>
    <t>16-1/4</t>
  </si>
  <si>
    <t>16-2/4</t>
  </si>
  <si>
    <t>16-3/4</t>
  </si>
  <si>
    <t>17-1/4</t>
  </si>
  <si>
    <t>17-2/4</t>
  </si>
  <si>
    <t>17-3/4</t>
  </si>
  <si>
    <t>18-1#</t>
  </si>
  <si>
    <t>18-2#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</si>
</sst>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0_ "/>
    <numFmt numFmtId="177" formatCode="0.00000_ "/>
  </numFmts>
  <fonts count="2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6" fillId="7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8" borderId="2" applyNumberFormat="0" applyFont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4" fillId="4" borderId="4" applyNumberFormat="0" applyAlignment="0" applyProtection="0">
      <alignment vertical="center"/>
    </xf>
    <xf numFmtId="0" fontId="4" fillId="4" borderId="1" applyNumberFormat="0" applyAlignment="0" applyProtection="0">
      <alignment vertical="center"/>
    </xf>
    <xf numFmtId="0" fontId="17" fillId="14" borderId="6" applyNumberFormat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 applyFont="1" applyFill="1" applyAlignment="1"/>
    <xf numFmtId="0" fontId="0" fillId="0" borderId="0" xfId="0" applyFont="1" applyFill="1" applyAlignment="1"/>
    <xf numFmtId="49" fontId="0" fillId="0" borderId="0" xfId="0" applyNumberFormat="1" applyFont="1" applyFill="1" applyAlignment="1">
      <alignment horizontal="center"/>
    </xf>
    <xf numFmtId="0" fontId="0" fillId="0" borderId="0" xfId="0" applyFill="1" applyAlignment="1"/>
    <xf numFmtId="49" fontId="0" fillId="0" borderId="0" xfId="0" applyNumberFormat="1" applyFill="1" applyAlignment="1">
      <alignment horizontal="center"/>
    </xf>
    <xf numFmtId="49" fontId="0" fillId="0" borderId="0" xfId="0" applyNumberFormat="1" applyFill="1" applyAlignment="1"/>
    <xf numFmtId="49" fontId="1" fillId="0" borderId="0" xfId="0" applyNumberFormat="1" applyFont="1" applyFill="1" applyAlignment="1"/>
    <xf numFmtId="0" fontId="1" fillId="0" borderId="0" xfId="0" applyFont="1" applyFill="1" applyAlignment="1"/>
    <xf numFmtId="177" fontId="0" fillId="0" borderId="0" xfId="0" applyNumberFormat="1">
      <alignment vertical="center"/>
    </xf>
    <xf numFmtId="177" fontId="0" fillId="0" borderId="0" xfId="0" applyNumberFormat="1" applyFont="1" applyFill="1" applyAlignment="1"/>
    <xf numFmtId="177" fontId="0" fillId="0" borderId="0" xfId="0" applyNumberFormat="1" applyFill="1" applyAlignment="1"/>
    <xf numFmtId="176" fontId="0" fillId="0" borderId="0" xfId="0" applyNumberForma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Sheet1!$A$2:$A$36</c:f>
              <c:strCache>
                <c:ptCount val="35"/>
                <c:pt idx="0" c:formatCode="@">
                  <c:v>18#大</c:v>
                </c:pt>
                <c:pt idx="1" c:formatCode="@">
                  <c:v>18#小</c:v>
                </c:pt>
                <c:pt idx="2" c:formatCode="@">
                  <c:v>17#3/4</c:v>
                </c:pt>
                <c:pt idx="3" c:formatCode="@">
                  <c:v>17#2/4</c:v>
                </c:pt>
                <c:pt idx="4" c:formatCode="@">
                  <c:v>17#1/4</c:v>
                </c:pt>
                <c:pt idx="5" c:formatCode="@">
                  <c:v>17#</c:v>
                </c:pt>
                <c:pt idx="6" c:formatCode="@">
                  <c:v>16#3/4</c:v>
                </c:pt>
                <c:pt idx="7" c:formatCode="@">
                  <c:v>16#2/4</c:v>
                </c:pt>
                <c:pt idx="8" c:formatCode="@">
                  <c:v>16#1/4</c:v>
                </c:pt>
                <c:pt idx="9" c:formatCode="@">
                  <c:v>16#</c:v>
                </c:pt>
                <c:pt idx="10" c:formatCode="@">
                  <c:v>15#3/4</c:v>
                </c:pt>
                <c:pt idx="11" c:formatCode="@">
                  <c:v>15#2/4</c:v>
                </c:pt>
                <c:pt idx="12" c:formatCode="@">
                  <c:v>15#1/4</c:v>
                </c:pt>
                <c:pt idx="13" c:formatCode="@">
                  <c:v>15#</c:v>
                </c:pt>
                <c:pt idx="14" c:formatCode="@">
                  <c:v>14#7/8</c:v>
                </c:pt>
                <c:pt idx="15" c:formatCode="@">
                  <c:v>14#6/8</c:v>
                </c:pt>
                <c:pt idx="16" c:formatCode="@">
                  <c:v>14#5/8</c:v>
                </c:pt>
                <c:pt idx="17" c:formatCode="@">
                  <c:v>14#4/8</c:v>
                </c:pt>
                <c:pt idx="18" c:formatCode="@">
                  <c:v>14#3/8</c:v>
                </c:pt>
                <c:pt idx="19" c:formatCode="@">
                  <c:v>14#2/8</c:v>
                </c:pt>
                <c:pt idx="20" c:formatCode="@">
                  <c:v>14#1/8</c:v>
                </c:pt>
                <c:pt idx="21" c:formatCode="@">
                  <c:v>14#</c:v>
                </c:pt>
                <c:pt idx="22" c:formatCode="@">
                  <c:v>13#3/4</c:v>
                </c:pt>
                <c:pt idx="23" c:formatCode="@">
                  <c:v>13#2/4</c:v>
                </c:pt>
                <c:pt idx="24" c:formatCode="@">
                  <c:v>13#1/4</c:v>
                </c:pt>
                <c:pt idx="25" c:formatCode="@">
                  <c:v>13#</c:v>
                </c:pt>
                <c:pt idx="26" c:formatCode="@">
                  <c:v>12#3/4</c:v>
                </c:pt>
                <c:pt idx="27" c:formatCode="@">
                  <c:v>12#2/4</c:v>
                </c:pt>
                <c:pt idx="28" c:formatCode="@">
                  <c:v>12#1/4</c:v>
                </c:pt>
                <c:pt idx="29" c:formatCode="@">
                  <c:v>12#</c:v>
                </c:pt>
                <c:pt idx="30" c:formatCode="@">
                  <c:v>11#3/4</c:v>
                </c:pt>
                <c:pt idx="31" c:formatCode="@">
                  <c:v>11#2/4</c:v>
                </c:pt>
                <c:pt idx="32" c:formatCode="@">
                  <c:v>11#1/4</c:v>
                </c:pt>
                <c:pt idx="33" c:formatCode="@">
                  <c:v>11#大</c:v>
                </c:pt>
                <c:pt idx="34" c:formatCode="@">
                  <c:v>11#小</c:v>
                </c:pt>
              </c:strCache>
            </c:strRef>
          </c:cat>
          <c:val>
            <c:numRef>
              <c:f>Sheet1!$G$2:$G$36</c:f>
              <c:numCache>
                <c:formatCode>General</c:formatCode>
                <c:ptCount val="35"/>
                <c:pt idx="0">
                  <c:v>0</c:v>
                </c:pt>
                <c:pt idx="1">
                  <c:v>1.68371</c:v>
                </c:pt>
                <c:pt idx="2">
                  <c:v>2.05672</c:v>
                </c:pt>
                <c:pt idx="3">
                  <c:v>2.4119</c:v>
                </c:pt>
                <c:pt idx="4">
                  <c:v>2.78485</c:v>
                </c:pt>
                <c:pt idx="5">
                  <c:v>3.18016</c:v>
                </c:pt>
                <c:pt idx="6">
                  <c:v>3.74231</c:v>
                </c:pt>
                <c:pt idx="7">
                  <c:v>4.32349</c:v>
                </c:pt>
                <c:pt idx="8">
                  <c:v>4.78995</c:v>
                </c:pt>
                <c:pt idx="9">
                  <c:v>5.25388</c:v>
                </c:pt>
                <c:pt idx="10">
                  <c:v>6.0547</c:v>
                </c:pt>
                <c:pt idx="11">
                  <c:v>6.82356</c:v>
                </c:pt>
                <c:pt idx="12">
                  <c:v>7.57687</c:v>
                </c:pt>
                <c:pt idx="13">
                  <c:v>8.32321</c:v>
                </c:pt>
                <c:pt idx="14">
                  <c:v>9.1124</c:v>
                </c:pt>
                <c:pt idx="15">
                  <c:v>9.82631</c:v>
                </c:pt>
                <c:pt idx="16">
                  <c:v>10.31927</c:v>
                </c:pt>
                <c:pt idx="17">
                  <c:v>10.59813</c:v>
                </c:pt>
                <c:pt idx="18">
                  <c:v>10.63028</c:v>
                </c:pt>
                <c:pt idx="19">
                  <c:v>10.40953</c:v>
                </c:pt>
                <c:pt idx="20">
                  <c:v>9.99388</c:v>
                </c:pt>
                <c:pt idx="21">
                  <c:v>9.41812</c:v>
                </c:pt>
                <c:pt idx="22">
                  <c:v>8.71778</c:v>
                </c:pt>
                <c:pt idx="23">
                  <c:v>7.98167</c:v>
                </c:pt>
                <c:pt idx="24">
                  <c:v>7.19256</c:v>
                </c:pt>
                <c:pt idx="25">
                  <c:v>6.39643</c:v>
                </c:pt>
                <c:pt idx="26">
                  <c:v>6.82333</c:v>
                </c:pt>
                <c:pt idx="27">
                  <c:v>5.40202</c:v>
                </c:pt>
                <c:pt idx="28">
                  <c:v>6.27461</c:v>
                </c:pt>
                <c:pt idx="29">
                  <c:v>5.75019</c:v>
                </c:pt>
                <c:pt idx="30">
                  <c:v>5.30643</c:v>
                </c:pt>
                <c:pt idx="31">
                  <c:v>4.8632</c:v>
                </c:pt>
                <c:pt idx="32">
                  <c:v>4.42815</c:v>
                </c:pt>
                <c:pt idx="33">
                  <c:v>4.02654</c:v>
                </c:pt>
                <c:pt idx="34">
                  <c:v>3.93256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55500948"/>
        <c:axId val="435860139"/>
      </c:lineChart>
      <c:catAx>
        <c:axId val="555009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35860139"/>
        <c:crosses val="autoZero"/>
        <c:auto val="1"/>
        <c:lblAlgn val="ctr"/>
        <c:lblOffset val="100"/>
        <c:tickLblSkip val="1"/>
        <c:noMultiLvlLbl val="0"/>
      </c:catAx>
      <c:valAx>
        <c:axId val="4358601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55009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257175</xdr:colOff>
      <xdr:row>14</xdr:row>
      <xdr:rowOff>0</xdr:rowOff>
    </xdr:from>
    <xdr:to>
      <xdr:col>13</xdr:col>
      <xdr:colOff>28575</xdr:colOff>
      <xdr:row>26</xdr:row>
      <xdr:rowOff>170815</xdr:rowOff>
    </xdr:to>
    <xdr:sp>
      <xdr:nvSpPr>
        <xdr:cNvPr id="2" name="文本框 1"/>
        <xdr:cNvSpPr txBox="1"/>
      </xdr:nvSpPr>
      <xdr:spPr>
        <a:xfrm>
          <a:off x="8210550" y="2400300"/>
          <a:ext cx="5057775" cy="22282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 b="1">
              <a:solidFill>
                <a:srgbClr val="FF0000"/>
              </a:solidFill>
            </a:rPr>
            <a:t>重要提示：测试结果仅供参考，不完全满足规范要求。</a:t>
          </a:r>
          <a:endParaRPr lang="en-US" altLang="zh-CN" sz="1100" b="1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、“重填水准测量数据”可以快速清空已填写数据；</a:t>
          </a:r>
          <a:endParaRPr lang="zh-CN" altLang="en-US" sz="1100"/>
        </a:p>
        <a:p>
          <a:r>
            <a:rPr lang="en-US" altLang="zh-CN" sz="1100"/>
            <a:t>7</a:t>
          </a:r>
          <a:r>
            <a:rPr lang="zh-CN" altLang="en-US" sz="1100"/>
            <a:t>、算法原理详见</a:t>
          </a:r>
          <a:r>
            <a:rPr lang="en-US" altLang="zh-CN" sz="1100"/>
            <a:t>VBA</a:t>
          </a:r>
          <a:r>
            <a:rPr lang="zh-CN" altLang="en-US" sz="1100"/>
            <a:t>源代码（</a:t>
          </a:r>
          <a:r>
            <a:rPr lang="en-US" altLang="zh-CN" sz="1100"/>
            <a:t>Alt+F11</a:t>
          </a:r>
          <a:r>
            <a:rPr lang="zh-CN" altLang="en-US" sz="1100"/>
            <a:t>）；</a:t>
          </a:r>
          <a:endParaRPr lang="zh-CN" altLang="en-US" sz="1100"/>
        </a:p>
        <a:p>
          <a:r>
            <a:rPr lang="en-US" altLang="zh-CN" sz="1100">
              <a:solidFill>
                <a:srgbClr val="FF0000"/>
              </a:solidFill>
            </a:rPr>
            <a:t>8</a:t>
          </a:r>
          <a:r>
            <a:rPr lang="zh-CN" altLang="en-US" sz="1100">
              <a:solidFill>
                <a:srgbClr val="FF0000"/>
              </a:solidFill>
            </a:rPr>
            <a:t>、闭合站点测点号要加后缀</a:t>
          </a:r>
          <a:r>
            <a:rPr lang="en-US" altLang="zh-CN" sz="1100">
              <a:solidFill>
                <a:srgbClr val="FF0000"/>
              </a:solidFill>
            </a:rPr>
            <a:t>“-</a:t>
          </a:r>
          <a:r>
            <a:rPr lang="zh-CN" altLang="en-US" sz="1100">
              <a:solidFill>
                <a:srgbClr val="FF0000"/>
              </a:solidFill>
            </a:rPr>
            <a:t>闭合</a:t>
          </a:r>
          <a:r>
            <a:rPr lang="en-US" altLang="zh-CN" sz="1100">
              <a:solidFill>
                <a:srgbClr val="FF0000"/>
              </a:solidFill>
            </a:rPr>
            <a:t>”</a:t>
          </a:r>
          <a:r>
            <a:rPr lang="zh-CN" altLang="en-US" sz="1100">
              <a:solidFill>
                <a:srgbClr val="FF0000"/>
              </a:solidFill>
            </a:rPr>
            <a:t>。</a:t>
          </a:r>
          <a:endParaRPr lang="zh-CN" altLang="en-US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6</xdr:row>
          <xdr:rowOff>0</xdr:rowOff>
        </xdr:from>
        <xdr:to>
          <xdr:col>9</xdr:col>
          <xdr:colOff>190500</xdr:colOff>
          <xdr:row>7</xdr:row>
          <xdr:rowOff>95250</xdr:rowOff>
        </xdr:to>
        <xdr:sp macro="[0]!LevelingSurveyDataClear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7648575" y="1028700"/>
              <a:ext cx="1181100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8</xdr:row>
          <xdr:rowOff>38100</xdr:rowOff>
        </xdr:from>
        <xdr:to>
          <xdr:col>9</xdr:col>
          <xdr:colOff>209550</xdr:colOff>
          <xdr:row>9</xdr:row>
          <xdr:rowOff>152400</xdr:rowOff>
        </xdr:to>
        <xdr:sp macro="[0]!AutoLevelingSurveyTransform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7639050" y="1409700"/>
              <a:ext cx="1209675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8</xdr:row>
          <xdr:rowOff>19050</xdr:rowOff>
        </xdr:from>
        <xdr:to>
          <xdr:col>11</xdr:col>
          <xdr:colOff>714375</xdr:colOff>
          <xdr:row>9</xdr:row>
          <xdr:rowOff>123825</xdr:rowOff>
        </xdr:to>
        <xdr:sp macro="[0]!GetSurveyStationCounts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39250" y="1390650"/>
              <a:ext cx="1485900" cy="2762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查看测站数（可选）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441325</xdr:colOff>
      <xdr:row>25</xdr:row>
      <xdr:rowOff>31750</xdr:rowOff>
    </xdr:from>
    <xdr:to>
      <xdr:col>14</xdr:col>
      <xdr:colOff>383540</xdr:colOff>
      <xdr:row>41</xdr:row>
      <xdr:rowOff>31750</xdr:rowOff>
    </xdr:to>
    <xdr:graphicFrame>
      <xdr:nvGraphicFramePr>
        <xdr:cNvPr id="3" name="图表 2"/>
        <xdr:cNvGraphicFramePr/>
      </xdr:nvGraphicFramePr>
      <xdr:xfrm>
        <a:off x="7708900" y="4318000"/>
        <a:ext cx="660019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M73"/>
  <sheetViews>
    <sheetView tabSelected="1" workbookViewId="0">
      <selection activeCell="E34" sqref="E34"/>
    </sheetView>
  </sheetViews>
  <sheetFormatPr defaultColWidth="9" defaultRowHeight="13.5"/>
  <cols>
    <col min="1" max="1" width="14.625" customWidth="1"/>
    <col min="2" max="2" width="14.375" customWidth="1"/>
    <col min="3" max="4" width="13.125" customWidth="1"/>
    <col min="5" max="5" width="9.375" customWidth="1"/>
    <col min="6" max="6" width="15.625" style="9" customWidth="1"/>
    <col min="7" max="7" width="15.125" customWidth="1"/>
    <col min="12" max="12" width="29.75" customWidth="1"/>
    <col min="13" max="13" width="12.625"/>
  </cols>
  <sheetData>
    <row r="1" spans="1:7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10" t="s">
        <v>5</v>
      </c>
      <c r="G1" s="2" t="s">
        <v>6</v>
      </c>
    </row>
    <row r="2" spans="1:7">
      <c r="A2" s="3" t="s">
        <v>7</v>
      </c>
      <c r="B2" s="1"/>
      <c r="C2" s="4">
        <v>0</v>
      </c>
      <c r="D2" s="4">
        <v>1.63763</v>
      </c>
      <c r="E2" s="4">
        <v>1.63763</v>
      </c>
      <c r="F2" s="11">
        <v>0</v>
      </c>
      <c r="G2">
        <v>0</v>
      </c>
    </row>
    <row r="3" spans="1:13">
      <c r="A3" s="3" t="s">
        <v>8</v>
      </c>
      <c r="B3" s="3" t="s">
        <v>7</v>
      </c>
      <c r="C3" s="4">
        <v>1.5914</v>
      </c>
      <c r="D3" s="4">
        <v>1.63763</v>
      </c>
      <c r="E3" s="4">
        <v>1.68386</v>
      </c>
      <c r="F3" s="11">
        <v>-0.00015</v>
      </c>
      <c r="G3">
        <v>1.68371</v>
      </c>
      <c r="L3" t="s">
        <v>9</v>
      </c>
      <c r="M3">
        <v>10</v>
      </c>
    </row>
    <row r="4" spans="1:13">
      <c r="A4" s="3" t="s">
        <v>10</v>
      </c>
      <c r="B4" s="3" t="s">
        <v>7</v>
      </c>
      <c r="C4" s="4">
        <v>1.21839</v>
      </c>
      <c r="D4" s="4">
        <v>1.63763</v>
      </c>
      <c r="E4" s="4">
        <v>2.05687</v>
      </c>
      <c r="F4" s="11">
        <v>-0.00015</v>
      </c>
      <c r="G4">
        <v>2.05672</v>
      </c>
      <c r="L4" t="s">
        <v>11</v>
      </c>
      <c r="M4" s="4">
        <v>0.0041899999999977</v>
      </c>
    </row>
    <row r="5" spans="1:13">
      <c r="A5" s="3" t="s">
        <v>12</v>
      </c>
      <c r="B5" s="3" t="s">
        <v>7</v>
      </c>
      <c r="C5" s="4">
        <v>0.86321</v>
      </c>
      <c r="D5" s="4">
        <v>1.63763</v>
      </c>
      <c r="E5" s="4">
        <v>2.41205</v>
      </c>
      <c r="F5" s="11">
        <v>-0.00015</v>
      </c>
      <c r="G5">
        <v>2.4119</v>
      </c>
      <c r="L5" t="s">
        <v>13</v>
      </c>
      <c r="M5">
        <v>1.59</v>
      </c>
    </row>
    <row r="6" spans="1:13">
      <c r="A6" s="3" t="s">
        <v>14</v>
      </c>
      <c r="B6" s="3" t="s">
        <v>7</v>
      </c>
      <c r="C6" s="4">
        <v>0.49026</v>
      </c>
      <c r="D6" s="4">
        <v>1.63763</v>
      </c>
      <c r="E6" s="4">
        <v>2.785</v>
      </c>
      <c r="F6" s="11">
        <v>-0.00015</v>
      </c>
      <c r="G6">
        <v>2.78485</v>
      </c>
      <c r="L6" t="s">
        <v>15</v>
      </c>
      <c r="M6" s="12">
        <f>3*SQRT(M5)</f>
        <v>3.78285606387555</v>
      </c>
    </row>
    <row r="7" spans="1:7">
      <c r="A7" s="3" t="s">
        <v>16</v>
      </c>
      <c r="B7" s="3" t="s">
        <v>14</v>
      </c>
      <c r="C7" s="4">
        <v>1.4112</v>
      </c>
      <c r="D7" s="4">
        <v>1.80666</v>
      </c>
      <c r="E7" s="4">
        <v>3.18046</v>
      </c>
      <c r="F7" s="11">
        <v>-0.0003</v>
      </c>
      <c r="G7">
        <v>3.18016</v>
      </c>
    </row>
    <row r="8" spans="1:7">
      <c r="A8" s="3" t="s">
        <v>17</v>
      </c>
      <c r="B8" s="3" t="s">
        <v>14</v>
      </c>
      <c r="C8" s="4">
        <v>0.84905</v>
      </c>
      <c r="D8" s="4">
        <v>1.80666</v>
      </c>
      <c r="E8" s="4">
        <v>3.74261</v>
      </c>
      <c r="F8" s="11">
        <v>-0.0003</v>
      </c>
      <c r="G8">
        <v>3.74231</v>
      </c>
    </row>
    <row r="9" spans="1:7">
      <c r="A9" s="3" t="s">
        <v>18</v>
      </c>
      <c r="B9" s="3" t="s">
        <v>14</v>
      </c>
      <c r="C9" s="4">
        <v>0.26787</v>
      </c>
      <c r="D9" s="4">
        <v>1.80666</v>
      </c>
      <c r="E9" s="4">
        <v>4.32379</v>
      </c>
      <c r="F9" s="11">
        <v>-0.0003</v>
      </c>
      <c r="G9">
        <v>4.32349</v>
      </c>
    </row>
    <row r="10" spans="1:7">
      <c r="A10" s="3" t="s">
        <v>19</v>
      </c>
      <c r="B10" s="3" t="s">
        <v>18</v>
      </c>
      <c r="C10" s="4">
        <v>1.30943</v>
      </c>
      <c r="D10" s="4">
        <v>1.77604</v>
      </c>
      <c r="E10" s="4">
        <v>4.7904</v>
      </c>
      <c r="F10" s="11">
        <v>-0.00045</v>
      </c>
      <c r="G10">
        <v>4.78995</v>
      </c>
    </row>
    <row r="11" spans="1:7">
      <c r="A11" s="3" t="s">
        <v>20</v>
      </c>
      <c r="B11" s="3" t="s">
        <v>18</v>
      </c>
      <c r="C11" s="4">
        <v>0.8455</v>
      </c>
      <c r="D11" s="4">
        <v>1.77604</v>
      </c>
      <c r="E11" s="4">
        <v>5.25433</v>
      </c>
      <c r="F11" s="11">
        <v>-0.00045</v>
      </c>
      <c r="G11">
        <v>5.25388</v>
      </c>
    </row>
    <row r="12" spans="1:7">
      <c r="A12" s="3" t="s">
        <v>21</v>
      </c>
      <c r="B12" s="3" t="s">
        <v>18</v>
      </c>
      <c r="C12" s="4">
        <v>0.04468</v>
      </c>
      <c r="D12" s="4">
        <v>1.77604</v>
      </c>
      <c r="E12" s="4">
        <v>6.05515</v>
      </c>
      <c r="F12" s="11">
        <v>-0.00045</v>
      </c>
      <c r="G12">
        <v>6.0547</v>
      </c>
    </row>
    <row r="13" spans="1:7">
      <c r="A13" s="5" t="s">
        <v>22</v>
      </c>
      <c r="B13" s="3" t="s">
        <v>21</v>
      </c>
      <c r="C13" s="4">
        <v>1.07133</v>
      </c>
      <c r="D13" s="4">
        <v>1.84034</v>
      </c>
      <c r="E13" s="4">
        <v>6.82416</v>
      </c>
      <c r="F13" s="11">
        <v>-0.0006</v>
      </c>
      <c r="G13">
        <v>6.82356</v>
      </c>
    </row>
    <row r="14" spans="1:7">
      <c r="A14" s="5" t="s">
        <v>23</v>
      </c>
      <c r="B14" s="3" t="s">
        <v>21</v>
      </c>
      <c r="C14" s="4">
        <v>0.31802</v>
      </c>
      <c r="D14" s="4">
        <v>1.84034</v>
      </c>
      <c r="E14" s="4">
        <v>7.57747</v>
      </c>
      <c r="F14" s="11">
        <v>-0.0006</v>
      </c>
      <c r="G14">
        <v>7.57687</v>
      </c>
    </row>
    <row r="15" spans="1:7">
      <c r="A15" s="5" t="s">
        <v>24</v>
      </c>
      <c r="B15" s="5" t="s">
        <v>23</v>
      </c>
      <c r="C15" s="4">
        <v>1.08967</v>
      </c>
      <c r="D15" s="4">
        <v>1.83616</v>
      </c>
      <c r="E15" s="4">
        <v>8.32396</v>
      </c>
      <c r="F15" s="11">
        <v>-0.00075</v>
      </c>
      <c r="G15">
        <v>8.32321</v>
      </c>
    </row>
    <row r="16" spans="1:7">
      <c r="A16" s="5" t="s">
        <v>25</v>
      </c>
      <c r="B16" s="5" t="s">
        <v>23</v>
      </c>
      <c r="C16" s="4">
        <v>0.30048</v>
      </c>
      <c r="D16" s="4">
        <v>1.83616</v>
      </c>
      <c r="E16" s="4">
        <v>9.11315</v>
      </c>
      <c r="F16" s="11">
        <v>-0.00075</v>
      </c>
      <c r="G16">
        <v>9.1124</v>
      </c>
    </row>
    <row r="17" spans="1:7">
      <c r="A17" s="5" t="s">
        <v>26</v>
      </c>
      <c r="B17" s="5" t="s">
        <v>25</v>
      </c>
      <c r="C17" s="4">
        <v>1.0923</v>
      </c>
      <c r="D17" s="4">
        <v>1.80636</v>
      </c>
      <c r="E17" s="4">
        <v>9.82721</v>
      </c>
      <c r="F17" s="11">
        <v>-0.0009</v>
      </c>
      <c r="G17">
        <v>9.82631</v>
      </c>
    </row>
    <row r="18" spans="1:7">
      <c r="A18" s="5" t="s">
        <v>27</v>
      </c>
      <c r="B18" s="5" t="s">
        <v>25</v>
      </c>
      <c r="C18" s="4">
        <v>0.59934</v>
      </c>
      <c r="D18" s="4">
        <v>1.80636</v>
      </c>
      <c r="E18" s="4">
        <v>10.32017</v>
      </c>
      <c r="F18" s="11">
        <v>-0.0009</v>
      </c>
      <c r="G18">
        <v>10.31927</v>
      </c>
    </row>
    <row r="19" spans="1:7">
      <c r="A19" s="5" t="s">
        <v>28</v>
      </c>
      <c r="B19" s="5" t="s">
        <v>25</v>
      </c>
      <c r="C19" s="4">
        <v>0.32048</v>
      </c>
      <c r="D19" s="4">
        <v>1.80636</v>
      </c>
      <c r="E19" s="4">
        <v>10.59903</v>
      </c>
      <c r="F19" s="11">
        <v>-0.0009</v>
      </c>
      <c r="G19">
        <v>10.59813</v>
      </c>
    </row>
    <row r="20" spans="1:7">
      <c r="A20" s="5" t="s">
        <v>29</v>
      </c>
      <c r="B20" s="5" t="s">
        <v>28</v>
      </c>
      <c r="C20" s="4">
        <v>1.03544</v>
      </c>
      <c r="D20" s="4">
        <v>1.06774</v>
      </c>
      <c r="E20" s="4">
        <v>10.63133</v>
      </c>
      <c r="F20" s="11">
        <v>-0.00105</v>
      </c>
      <c r="G20">
        <v>10.63028</v>
      </c>
    </row>
    <row r="21" spans="1:7">
      <c r="A21" s="5" t="s">
        <v>30</v>
      </c>
      <c r="B21" s="5" t="s">
        <v>28</v>
      </c>
      <c r="C21" s="4">
        <v>1.25619</v>
      </c>
      <c r="D21" s="4">
        <v>1.06774</v>
      </c>
      <c r="E21" s="4">
        <v>10.41058</v>
      </c>
      <c r="F21" s="11">
        <v>-0.00105</v>
      </c>
      <c r="G21">
        <v>10.40953</v>
      </c>
    </row>
    <row r="22" spans="1:7">
      <c r="A22" s="5" t="s">
        <v>31</v>
      </c>
      <c r="B22" s="5" t="s">
        <v>28</v>
      </c>
      <c r="C22" s="4">
        <v>1.67184</v>
      </c>
      <c r="D22" s="4">
        <v>1.06774</v>
      </c>
      <c r="E22" s="4">
        <v>9.99493</v>
      </c>
      <c r="F22" s="11">
        <v>-0.00105</v>
      </c>
      <c r="G22">
        <v>9.99388</v>
      </c>
    </row>
    <row r="23" spans="1:7">
      <c r="A23" s="5" t="s">
        <v>32</v>
      </c>
      <c r="B23" s="5" t="s">
        <v>31</v>
      </c>
      <c r="C23" s="4">
        <v>0.9741</v>
      </c>
      <c r="D23" s="4">
        <v>0.39849</v>
      </c>
      <c r="E23" s="4">
        <v>9.41932</v>
      </c>
      <c r="F23" s="11">
        <v>-0.0012</v>
      </c>
      <c r="G23">
        <v>9.41812</v>
      </c>
    </row>
    <row r="24" spans="1:7">
      <c r="A24" s="5" t="s">
        <v>33</v>
      </c>
      <c r="B24" s="5" t="s">
        <v>31</v>
      </c>
      <c r="C24" s="4">
        <v>1.67444</v>
      </c>
      <c r="D24" s="4">
        <v>0.39849</v>
      </c>
      <c r="E24" s="4">
        <v>8.71898</v>
      </c>
      <c r="F24" s="11">
        <v>-0.0012</v>
      </c>
      <c r="G24">
        <v>8.71778</v>
      </c>
    </row>
    <row r="25" spans="1:7">
      <c r="A25" s="5" t="s">
        <v>34</v>
      </c>
      <c r="B25" s="5" t="s">
        <v>33</v>
      </c>
      <c r="C25" s="4">
        <v>0.90542</v>
      </c>
      <c r="D25" s="4">
        <v>0.16946</v>
      </c>
      <c r="E25" s="4">
        <v>7.98302</v>
      </c>
      <c r="F25" s="11">
        <v>-0.00135</v>
      </c>
      <c r="G25">
        <v>7.98167</v>
      </c>
    </row>
    <row r="26" spans="1:7">
      <c r="A26" s="5" t="s">
        <v>35</v>
      </c>
      <c r="B26" s="5" t="s">
        <v>33</v>
      </c>
      <c r="C26" s="4">
        <v>1.69453</v>
      </c>
      <c r="D26" s="4">
        <v>0.16946</v>
      </c>
      <c r="E26" s="4">
        <v>7.19391</v>
      </c>
      <c r="F26" s="11">
        <v>-0.00135</v>
      </c>
      <c r="G26">
        <v>7.19256</v>
      </c>
    </row>
    <row r="27" spans="1:7">
      <c r="A27" s="6" t="s">
        <v>36</v>
      </c>
      <c r="B27" s="5" t="s">
        <v>35</v>
      </c>
      <c r="C27" s="4">
        <v>0.87747</v>
      </c>
      <c r="D27" s="4">
        <v>0.08149</v>
      </c>
      <c r="E27" s="4">
        <v>6.39793</v>
      </c>
      <c r="F27" s="11">
        <v>-0.0015</v>
      </c>
      <c r="G27">
        <v>6.39643</v>
      </c>
    </row>
    <row r="28" spans="1:7">
      <c r="A28" s="5" t="s">
        <v>37</v>
      </c>
      <c r="B28" s="5" t="s">
        <v>35</v>
      </c>
      <c r="C28" s="4">
        <v>0.45057</v>
      </c>
      <c r="D28" s="4">
        <v>0.08149</v>
      </c>
      <c r="E28" s="4">
        <v>6.82483</v>
      </c>
      <c r="F28" s="11">
        <v>-0.0015</v>
      </c>
      <c r="G28">
        <v>6.82333</v>
      </c>
    </row>
    <row r="29" spans="1:7">
      <c r="A29" s="5" t="s">
        <v>38</v>
      </c>
      <c r="B29" s="5" t="s">
        <v>35</v>
      </c>
      <c r="C29" s="4">
        <v>1.87188</v>
      </c>
      <c r="D29" s="4">
        <v>0.08149</v>
      </c>
      <c r="E29" s="4">
        <v>5.40352</v>
      </c>
      <c r="F29" s="11">
        <v>-0.0015</v>
      </c>
      <c r="G29">
        <v>5.40202</v>
      </c>
    </row>
    <row r="30" spans="1:7">
      <c r="A30" s="5" t="s">
        <v>39</v>
      </c>
      <c r="B30" s="5" t="s">
        <v>37</v>
      </c>
      <c r="C30" s="4">
        <v>1.48462</v>
      </c>
      <c r="D30" s="4">
        <v>0.93605</v>
      </c>
      <c r="E30" s="4">
        <v>6.27626</v>
      </c>
      <c r="F30" s="11">
        <v>-0.00165</v>
      </c>
      <c r="G30">
        <v>6.27461</v>
      </c>
    </row>
    <row r="31" spans="1:7">
      <c r="A31" s="6" t="s">
        <v>40</v>
      </c>
      <c r="B31" s="5" t="s">
        <v>39</v>
      </c>
      <c r="C31" s="4">
        <v>1.21167</v>
      </c>
      <c r="D31" s="4">
        <v>0.6874</v>
      </c>
      <c r="E31" s="4">
        <v>5.75199</v>
      </c>
      <c r="F31" s="11">
        <v>-0.0018</v>
      </c>
      <c r="G31">
        <v>5.75019</v>
      </c>
    </row>
    <row r="32" spans="1:7">
      <c r="A32" s="5" t="s">
        <v>41</v>
      </c>
      <c r="B32" s="5" t="s">
        <v>39</v>
      </c>
      <c r="C32" s="4">
        <v>1.65543</v>
      </c>
      <c r="D32" s="4">
        <v>0.6874</v>
      </c>
      <c r="E32" s="4">
        <v>5.30823</v>
      </c>
      <c r="F32" s="11">
        <v>-0.0018</v>
      </c>
      <c r="G32">
        <v>5.30643</v>
      </c>
    </row>
    <row r="33" spans="1:7">
      <c r="A33" s="5" t="s">
        <v>42</v>
      </c>
      <c r="B33" s="5" t="s">
        <v>41</v>
      </c>
      <c r="C33" s="4">
        <v>0.7778</v>
      </c>
      <c r="D33" s="4">
        <v>0.33472</v>
      </c>
      <c r="E33" s="4">
        <v>4.86515</v>
      </c>
      <c r="F33" s="11">
        <v>-0.00195</v>
      </c>
      <c r="G33">
        <v>4.8632</v>
      </c>
    </row>
    <row r="34" spans="1:7">
      <c r="A34" s="5" t="s">
        <v>43</v>
      </c>
      <c r="B34" s="5" t="s">
        <v>41</v>
      </c>
      <c r="C34" s="4">
        <v>1.21285</v>
      </c>
      <c r="D34" s="4">
        <v>0.33472</v>
      </c>
      <c r="E34" s="4">
        <v>4.4301</v>
      </c>
      <c r="F34" s="11">
        <v>-0.00195</v>
      </c>
      <c r="G34">
        <v>4.42815</v>
      </c>
    </row>
    <row r="35" spans="1:7">
      <c r="A35" s="6" t="s">
        <v>44</v>
      </c>
      <c r="B35" s="5" t="s">
        <v>41</v>
      </c>
      <c r="C35" s="4">
        <v>1.61446</v>
      </c>
      <c r="D35" s="4">
        <v>0.33472</v>
      </c>
      <c r="E35" s="4">
        <v>4.02849</v>
      </c>
      <c r="F35" s="11">
        <v>-0.00195</v>
      </c>
      <c r="G35">
        <v>4.02654</v>
      </c>
    </row>
    <row r="36" spans="1:7">
      <c r="A36" s="6" t="s">
        <v>45</v>
      </c>
      <c r="B36" s="5" t="s">
        <v>41</v>
      </c>
      <c r="C36" s="4">
        <v>1.70844</v>
      </c>
      <c r="D36" s="4">
        <v>0.33472</v>
      </c>
      <c r="E36" s="4">
        <v>3.93451</v>
      </c>
      <c r="F36" s="11">
        <v>-0.00195</v>
      </c>
      <c r="G36">
        <v>3.93256</v>
      </c>
    </row>
    <row r="37" spans="1:7">
      <c r="A37" s="7" t="s">
        <v>46</v>
      </c>
      <c r="B37" s="6" t="s">
        <v>45</v>
      </c>
      <c r="C37" s="8">
        <v>1.87204</v>
      </c>
      <c r="D37" s="8">
        <v>1.48043</v>
      </c>
      <c r="E37" s="8">
        <v>3.5429</v>
      </c>
      <c r="F37" s="9">
        <v>-0.00209</v>
      </c>
      <c r="G37">
        <v>3.54081</v>
      </c>
    </row>
    <row r="38" spans="1:7">
      <c r="A38" s="6" t="s">
        <v>47</v>
      </c>
      <c r="B38" s="6" t="s">
        <v>45</v>
      </c>
      <c r="C38" s="4">
        <v>1.77348</v>
      </c>
      <c r="D38" s="4">
        <v>1.48043</v>
      </c>
      <c r="E38" s="4">
        <v>3.64146</v>
      </c>
      <c r="F38" s="9">
        <v>-0.00209</v>
      </c>
      <c r="G38">
        <v>3.63937</v>
      </c>
    </row>
    <row r="39" spans="1:7">
      <c r="A39" s="5" t="s">
        <v>48</v>
      </c>
      <c r="B39" s="6" t="s">
        <v>45</v>
      </c>
      <c r="C39" s="4">
        <v>1.3731</v>
      </c>
      <c r="D39" s="8">
        <v>1.48043</v>
      </c>
      <c r="E39" s="4">
        <v>4.04184</v>
      </c>
      <c r="F39" s="9">
        <v>-0.00209</v>
      </c>
      <c r="G39">
        <v>4.03975</v>
      </c>
    </row>
    <row r="40" spans="1:7">
      <c r="A40" s="5" t="s">
        <v>49</v>
      </c>
      <c r="B40" s="6" t="s">
        <v>45</v>
      </c>
      <c r="C40" s="4">
        <v>0.91538</v>
      </c>
      <c r="D40" s="4">
        <v>1.48043</v>
      </c>
      <c r="E40" s="4">
        <v>4.49956</v>
      </c>
      <c r="F40" s="9">
        <v>-0.00209</v>
      </c>
      <c r="G40">
        <v>4.49747</v>
      </c>
    </row>
    <row r="41" spans="1:7">
      <c r="A41" s="5" t="s">
        <v>50</v>
      </c>
      <c r="B41" s="6" t="s">
        <v>45</v>
      </c>
      <c r="C41" s="4">
        <v>0.48748</v>
      </c>
      <c r="D41" s="8">
        <v>1.48043</v>
      </c>
      <c r="E41" s="4">
        <v>4.92746</v>
      </c>
      <c r="F41" s="9">
        <v>-0.00209</v>
      </c>
      <c r="G41">
        <v>4.92537</v>
      </c>
    </row>
    <row r="42" spans="1:7">
      <c r="A42" s="6" t="s">
        <v>51</v>
      </c>
      <c r="B42" s="5" t="s">
        <v>50</v>
      </c>
      <c r="C42" s="4">
        <v>1.41722</v>
      </c>
      <c r="D42" s="4">
        <v>1.84708</v>
      </c>
      <c r="E42" s="4">
        <v>5.35732</v>
      </c>
      <c r="F42" s="9">
        <v>-0.00224</v>
      </c>
      <c r="G42">
        <v>5.35508</v>
      </c>
    </row>
    <row r="43" spans="1:7">
      <c r="A43" s="5" t="s">
        <v>52</v>
      </c>
      <c r="B43" s="5" t="s">
        <v>50</v>
      </c>
      <c r="C43" s="4">
        <v>0.85785</v>
      </c>
      <c r="D43" s="4">
        <v>1.84708</v>
      </c>
      <c r="E43" s="4">
        <v>5.91669</v>
      </c>
      <c r="F43" s="9">
        <v>-0.00224</v>
      </c>
      <c r="G43">
        <v>5.91445</v>
      </c>
    </row>
    <row r="44" spans="1:7">
      <c r="A44" s="5" t="s">
        <v>53</v>
      </c>
      <c r="B44" s="5" t="s">
        <v>50</v>
      </c>
      <c r="C44" s="4">
        <v>0.34541</v>
      </c>
      <c r="D44" s="4">
        <v>1.84708</v>
      </c>
      <c r="E44" s="4">
        <v>6.42913</v>
      </c>
      <c r="F44" s="9">
        <v>-0.00224</v>
      </c>
      <c r="G44">
        <v>6.42689</v>
      </c>
    </row>
    <row r="45" spans="1:7">
      <c r="A45" s="5" t="s">
        <v>54</v>
      </c>
      <c r="B45" s="5" t="s">
        <v>53</v>
      </c>
      <c r="C45">
        <v>1.31519</v>
      </c>
      <c r="D45" s="4">
        <v>1.80919</v>
      </c>
      <c r="E45" s="4">
        <v>6.92313</v>
      </c>
      <c r="F45" s="9">
        <v>-0.00239</v>
      </c>
      <c r="G45">
        <v>6.92074</v>
      </c>
    </row>
    <row r="46" spans="1:7">
      <c r="A46" s="6" t="s">
        <v>55</v>
      </c>
      <c r="B46" s="5" t="s">
        <v>56</v>
      </c>
      <c r="C46">
        <v>0.79915</v>
      </c>
      <c r="D46" s="4">
        <v>1.80919</v>
      </c>
      <c r="E46" s="4">
        <v>1.01004</v>
      </c>
      <c r="F46" s="9">
        <v>-0.00254</v>
      </c>
      <c r="G46">
        <v>1.0075</v>
      </c>
    </row>
    <row r="47" spans="1:7">
      <c r="A47" s="5" t="s">
        <v>57</v>
      </c>
      <c r="B47" s="6" t="s">
        <v>55</v>
      </c>
      <c r="C47" s="4">
        <v>1.10626</v>
      </c>
      <c r="D47" s="4">
        <v>1.89355</v>
      </c>
      <c r="E47" s="4">
        <v>1.79733</v>
      </c>
      <c r="F47" s="9">
        <v>-0.00269</v>
      </c>
      <c r="G47">
        <v>1.79464</v>
      </c>
    </row>
    <row r="48" spans="1:7">
      <c r="A48" s="5" t="s">
        <v>58</v>
      </c>
      <c r="B48" s="6" t="s">
        <v>55</v>
      </c>
      <c r="C48" s="4">
        <v>0.31223</v>
      </c>
      <c r="D48" s="4">
        <v>1.89355</v>
      </c>
      <c r="E48" s="4">
        <v>2.59136</v>
      </c>
      <c r="F48" s="9">
        <v>-0.00269</v>
      </c>
      <c r="G48">
        <v>2.58867</v>
      </c>
    </row>
    <row r="49" spans="1:7">
      <c r="A49" s="5" t="s">
        <v>59</v>
      </c>
      <c r="B49" s="5" t="s">
        <v>58</v>
      </c>
      <c r="C49" s="4">
        <v>1.19442</v>
      </c>
      <c r="D49" s="4">
        <v>1.56661</v>
      </c>
      <c r="E49" s="4">
        <v>2.96355</v>
      </c>
      <c r="F49" s="9">
        <v>-0.00284</v>
      </c>
      <c r="G49">
        <v>2.96071</v>
      </c>
    </row>
    <row r="50" spans="1:7">
      <c r="A50" s="6" t="s">
        <v>60</v>
      </c>
      <c r="B50" s="5" t="s">
        <v>58</v>
      </c>
      <c r="C50" s="4">
        <v>0.81166</v>
      </c>
      <c r="D50" s="4">
        <v>1.56661</v>
      </c>
      <c r="E50" s="4">
        <v>3.34631</v>
      </c>
      <c r="F50" s="9">
        <v>-0.00284</v>
      </c>
      <c r="G50">
        <v>3.34347</v>
      </c>
    </row>
    <row r="51" spans="1:7">
      <c r="A51" s="5" t="s">
        <v>61</v>
      </c>
      <c r="B51" s="5" t="s">
        <v>58</v>
      </c>
      <c r="C51" s="4">
        <v>0.4878</v>
      </c>
      <c r="D51" s="4">
        <v>1.56661</v>
      </c>
      <c r="E51" s="4">
        <v>3.67017</v>
      </c>
      <c r="F51" s="9">
        <v>-0.00284</v>
      </c>
      <c r="G51">
        <v>3.66733</v>
      </c>
    </row>
    <row r="52" spans="1:7">
      <c r="A52" s="5" t="s">
        <v>62</v>
      </c>
      <c r="B52" s="5" t="s">
        <v>61</v>
      </c>
      <c r="C52" s="4">
        <v>1.18079</v>
      </c>
      <c r="D52" s="4">
        <v>1.53662</v>
      </c>
      <c r="E52" s="4">
        <v>4.026</v>
      </c>
      <c r="F52" s="9">
        <v>-0.00299</v>
      </c>
      <c r="G52">
        <v>4.02301</v>
      </c>
    </row>
    <row r="53" spans="1:7">
      <c r="A53" s="5" t="s">
        <v>63</v>
      </c>
      <c r="B53" s="5" t="s">
        <v>61</v>
      </c>
      <c r="C53" s="4">
        <v>0.60147</v>
      </c>
      <c r="D53" s="4">
        <v>1.53662</v>
      </c>
      <c r="E53" s="4">
        <v>4.60532</v>
      </c>
      <c r="F53" s="9">
        <v>-0.00299</v>
      </c>
      <c r="G53">
        <v>4.60233</v>
      </c>
    </row>
    <row r="54" spans="1:7">
      <c r="A54" s="5" t="s">
        <v>64</v>
      </c>
      <c r="B54" s="5" t="s">
        <v>63</v>
      </c>
      <c r="C54" s="4">
        <v>1.19425</v>
      </c>
      <c r="D54" s="4">
        <v>1.59956</v>
      </c>
      <c r="E54" s="4">
        <v>5.01063</v>
      </c>
      <c r="F54" s="9">
        <v>-0.00314</v>
      </c>
      <c r="G54">
        <v>5.00749</v>
      </c>
    </row>
    <row r="55" spans="1:7">
      <c r="A55" s="5" t="s">
        <v>65</v>
      </c>
      <c r="B55" s="5" t="s">
        <v>63</v>
      </c>
      <c r="C55" s="4">
        <v>0.96185</v>
      </c>
      <c r="D55" s="4">
        <v>1.59956</v>
      </c>
      <c r="E55" s="4">
        <v>5.24303</v>
      </c>
      <c r="F55" s="9">
        <v>-0.00314</v>
      </c>
      <c r="G55">
        <v>5.23989</v>
      </c>
    </row>
    <row r="56" spans="1:7">
      <c r="A56" s="5" t="s">
        <v>66</v>
      </c>
      <c r="B56" s="5" t="s">
        <v>63</v>
      </c>
      <c r="C56" s="4">
        <v>0.99267</v>
      </c>
      <c r="D56" s="4">
        <v>1.59956</v>
      </c>
      <c r="E56" s="4">
        <v>5.21221</v>
      </c>
      <c r="F56" s="9">
        <v>-0.00314</v>
      </c>
      <c r="G56">
        <v>5.20907</v>
      </c>
    </row>
    <row r="57" spans="1:7">
      <c r="A57" s="5" t="s">
        <v>67</v>
      </c>
      <c r="B57" s="5" t="s">
        <v>66</v>
      </c>
      <c r="C57" s="4">
        <v>0.9483</v>
      </c>
      <c r="D57" s="4">
        <v>0.70765</v>
      </c>
      <c r="E57" s="4">
        <v>4.97156</v>
      </c>
      <c r="F57" s="9">
        <v>-0.00329</v>
      </c>
      <c r="G57">
        <v>4.96827</v>
      </c>
    </row>
    <row r="58" spans="1:7">
      <c r="A58" s="5" t="s">
        <v>68</v>
      </c>
      <c r="B58" s="5" t="s">
        <v>66</v>
      </c>
      <c r="C58" s="4">
        <v>1.50328</v>
      </c>
      <c r="D58" s="4">
        <v>0.70765</v>
      </c>
      <c r="E58" s="4">
        <v>4.41658</v>
      </c>
      <c r="F58" s="9">
        <v>-0.00329</v>
      </c>
      <c r="G58">
        <v>4.41329</v>
      </c>
    </row>
    <row r="59" spans="1:7">
      <c r="A59" s="5" t="s">
        <v>69</v>
      </c>
      <c r="B59" s="5" t="s">
        <v>68</v>
      </c>
      <c r="C59" s="4">
        <v>0.77275</v>
      </c>
      <c r="D59" s="4">
        <v>0.07128</v>
      </c>
      <c r="E59" s="4">
        <v>3.71511</v>
      </c>
      <c r="F59" s="9">
        <v>-0.00344</v>
      </c>
      <c r="G59">
        <v>3.71167</v>
      </c>
    </row>
    <row r="60" spans="1:7">
      <c r="A60" s="5" t="s">
        <v>70</v>
      </c>
      <c r="B60" s="5" t="s">
        <v>68</v>
      </c>
      <c r="C60" s="4">
        <v>1.55367</v>
      </c>
      <c r="D60" s="4">
        <v>0.07128</v>
      </c>
      <c r="E60" s="4">
        <v>2.93419</v>
      </c>
      <c r="F60" s="9">
        <v>-0.00344</v>
      </c>
      <c r="G60">
        <v>2.93075</v>
      </c>
    </row>
    <row r="61" spans="1:7">
      <c r="A61" s="5" t="s">
        <v>71</v>
      </c>
      <c r="B61" s="5" t="s">
        <v>70</v>
      </c>
      <c r="C61" s="4">
        <v>0.85551</v>
      </c>
      <c r="D61" s="4">
        <v>0.1187</v>
      </c>
      <c r="E61" s="4">
        <v>2.19738</v>
      </c>
      <c r="F61" s="9">
        <v>-0.00359</v>
      </c>
      <c r="G61">
        <v>2.19379</v>
      </c>
    </row>
    <row r="62" spans="1:7">
      <c r="A62" s="5" t="s">
        <v>72</v>
      </c>
      <c r="B62" s="5" t="s">
        <v>70</v>
      </c>
      <c r="C62" s="4">
        <v>1.59562</v>
      </c>
      <c r="D62" s="4">
        <v>0.1187</v>
      </c>
      <c r="E62" s="4">
        <v>1.45727</v>
      </c>
      <c r="F62" s="9">
        <v>-0.00359</v>
      </c>
      <c r="G62">
        <v>1.45368</v>
      </c>
    </row>
    <row r="63" spans="1:7">
      <c r="A63" s="5" t="s">
        <v>73</v>
      </c>
      <c r="B63" s="5" t="s">
        <v>72</v>
      </c>
      <c r="C63" s="4">
        <v>0.85048</v>
      </c>
      <c r="D63" s="4">
        <v>0.06853</v>
      </c>
      <c r="E63" s="4">
        <v>0.67532</v>
      </c>
      <c r="F63" s="9">
        <v>-0.00374</v>
      </c>
      <c r="G63">
        <v>0.67158</v>
      </c>
    </row>
    <row r="64" spans="1:7">
      <c r="A64" s="5" t="s">
        <v>74</v>
      </c>
      <c r="B64" s="5" t="s">
        <v>72</v>
      </c>
      <c r="C64" s="4">
        <v>1.64195</v>
      </c>
      <c r="D64" s="4">
        <v>0.06853</v>
      </c>
      <c r="E64" s="4">
        <v>-0.11615</v>
      </c>
      <c r="F64" s="9">
        <v>-0.00374</v>
      </c>
      <c r="G64">
        <v>-0.11989</v>
      </c>
    </row>
    <row r="65" spans="1:7">
      <c r="A65" s="5" t="s">
        <v>75</v>
      </c>
      <c r="B65" s="5" t="s">
        <v>74</v>
      </c>
      <c r="C65" s="4">
        <v>0.91673</v>
      </c>
      <c r="D65" s="4">
        <v>0.41805</v>
      </c>
      <c r="E65" s="4">
        <v>-0.61483</v>
      </c>
      <c r="F65" s="9">
        <v>-0.00389</v>
      </c>
      <c r="G65">
        <v>-0.61872</v>
      </c>
    </row>
    <row r="66" spans="1:7">
      <c r="A66" s="5" t="s">
        <v>76</v>
      </c>
      <c r="B66" s="5" t="s">
        <v>74</v>
      </c>
      <c r="C66" s="4">
        <v>1.37351</v>
      </c>
      <c r="D66" s="4">
        <v>0.41805</v>
      </c>
      <c r="E66" s="4">
        <v>-1.07161</v>
      </c>
      <c r="F66" s="9">
        <v>-0.00389</v>
      </c>
      <c r="G66">
        <v>-1.0755</v>
      </c>
    </row>
    <row r="67" spans="1:7">
      <c r="A67" s="5" t="s">
        <v>77</v>
      </c>
      <c r="B67" s="5" t="s">
        <v>76</v>
      </c>
      <c r="C67" s="4">
        <v>1.08994</v>
      </c>
      <c r="D67" s="4">
        <v>0.06934</v>
      </c>
      <c r="E67" s="4">
        <v>-2.09221</v>
      </c>
      <c r="F67" s="9">
        <v>-0.00404</v>
      </c>
      <c r="G67">
        <v>-2.09625</v>
      </c>
    </row>
    <row r="68" spans="1:7">
      <c r="A68" s="5" t="s">
        <v>78</v>
      </c>
      <c r="B68" s="5" t="s">
        <v>76</v>
      </c>
      <c r="C68" s="4">
        <v>1.47577</v>
      </c>
      <c r="D68" s="4">
        <v>0.06934</v>
      </c>
      <c r="E68" s="4">
        <v>-2.47804</v>
      </c>
      <c r="F68" s="9">
        <v>-0.00404</v>
      </c>
      <c r="G68">
        <v>-2.48208</v>
      </c>
    </row>
    <row r="69" spans="1:7">
      <c r="A69" s="5" t="s">
        <v>79</v>
      </c>
      <c r="B69" s="5" t="s">
        <v>76</v>
      </c>
      <c r="C69" s="4">
        <v>1.85828</v>
      </c>
      <c r="D69" s="4">
        <v>0.06934</v>
      </c>
      <c r="E69" s="4">
        <v>-2.86055</v>
      </c>
      <c r="F69" s="9">
        <v>-0.00404</v>
      </c>
      <c r="G69">
        <v>-2.86459</v>
      </c>
    </row>
    <row r="70" spans="1:7">
      <c r="A70" s="3" t="s">
        <v>80</v>
      </c>
      <c r="B70" s="5" t="s">
        <v>79</v>
      </c>
      <c r="C70" s="4">
        <v>1.28095</v>
      </c>
      <c r="D70" s="4">
        <v>1.05345</v>
      </c>
      <c r="E70" s="4">
        <v>-3.08805</v>
      </c>
      <c r="F70" s="9">
        <v>-0.00419</v>
      </c>
      <c r="G70">
        <v>-3.09224</v>
      </c>
    </row>
    <row r="71" spans="1:7">
      <c r="A71" s="3" t="s">
        <v>81</v>
      </c>
      <c r="B71" s="5" t="s">
        <v>79</v>
      </c>
      <c r="C71" s="4">
        <v>1.02127</v>
      </c>
      <c r="D71" s="4">
        <v>1.05345</v>
      </c>
      <c r="E71" s="4">
        <v>-2.82837</v>
      </c>
      <c r="F71" s="9">
        <v>-0.00419</v>
      </c>
      <c r="G71">
        <v>-2.83256</v>
      </c>
    </row>
    <row r="72" spans="1:5">
      <c r="A72" s="6"/>
      <c r="B72" s="5"/>
      <c r="D72" s="4"/>
      <c r="E72" s="4"/>
    </row>
    <row r="73" spans="5:5">
      <c r="E73" s="4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7</xdr:col>
                    <xdr:colOff>381000</xdr:colOff>
                    <xdr:row>6</xdr:row>
                    <xdr:rowOff>0</xdr:rowOff>
                  </from>
                  <to>
                    <xdr:col>9</xdr:col>
                    <xdr:colOff>190500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7</xdr:col>
                    <xdr:colOff>371475</xdr:colOff>
                    <xdr:row>8</xdr:row>
                    <xdr:rowOff>38100</xdr:rowOff>
                  </from>
                  <to>
                    <xdr:col>9</xdr:col>
                    <xdr:colOff>209550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>
                  <from>
                    <xdr:col>9</xdr:col>
                    <xdr:colOff>600075</xdr:colOff>
                    <xdr:row>8</xdr:row>
                    <xdr:rowOff>19050</xdr:rowOff>
                  </from>
                  <to>
                    <xdr:col>11</xdr:col>
                    <xdr:colOff>714375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"/>
  <sheetViews>
    <sheetView workbookViewId="0">
      <selection activeCell="A1" sqref="A1"/>
    </sheetView>
  </sheetViews>
  <sheetFormatPr defaultColWidth="9" defaultRowHeight="13.5"/>
  <sheetData/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"/>
  <sheetViews>
    <sheetView workbookViewId="0">
      <selection activeCell="A1" sqref="A1"/>
    </sheetView>
  </sheetViews>
  <sheetFormatPr defaultColWidth="9" defaultRowHeight="13.5"/>
  <sheetData/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F73"/>
  <sheetViews>
    <sheetView workbookViewId="0">
      <selection activeCell="A1" sqref="A1:F73"/>
    </sheetView>
  </sheetViews>
  <sheetFormatPr defaultColWidth="9" defaultRowHeight="13.5" outlineLevelCol="5"/>
  <sheetData>
    <row r="1" spans="1:6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82</v>
      </c>
    </row>
    <row r="2" spans="1:6">
      <c r="A2" s="3" t="s">
        <v>83</v>
      </c>
      <c r="B2" s="1" t="s">
        <v>84</v>
      </c>
      <c r="C2" s="4">
        <v>0</v>
      </c>
      <c r="D2" s="4">
        <v>1.82547</v>
      </c>
      <c r="E2" s="4">
        <v>0</v>
      </c>
      <c r="F2" s="4"/>
    </row>
    <row r="3" spans="1:6">
      <c r="A3" s="3" t="s">
        <v>85</v>
      </c>
      <c r="B3" s="3" t="s">
        <v>83</v>
      </c>
      <c r="C3" s="4">
        <v>1.77895</v>
      </c>
      <c r="D3" s="4">
        <v>1.82547</v>
      </c>
      <c r="E3" s="4"/>
      <c r="F3" s="4"/>
    </row>
    <row r="4" spans="1:6">
      <c r="A4" s="5" t="s">
        <v>86</v>
      </c>
      <c r="B4" s="3" t="s">
        <v>83</v>
      </c>
      <c r="C4" s="4">
        <v>1.40675</v>
      </c>
      <c r="D4" s="4">
        <v>1.82547</v>
      </c>
      <c r="E4" s="4"/>
      <c r="F4" s="4"/>
    </row>
    <row r="5" spans="1:6">
      <c r="A5" s="5" t="s">
        <v>87</v>
      </c>
      <c r="B5" s="3" t="s">
        <v>83</v>
      </c>
      <c r="C5" s="4">
        <v>1.05075</v>
      </c>
      <c r="D5" s="4">
        <v>1.82547</v>
      </c>
      <c r="E5" s="4"/>
      <c r="F5" s="4"/>
    </row>
    <row r="6" spans="1:6">
      <c r="A6" s="5" t="s">
        <v>88</v>
      </c>
      <c r="B6" s="3" t="s">
        <v>83</v>
      </c>
      <c r="C6" s="4">
        <v>0.67778</v>
      </c>
      <c r="D6" s="4">
        <v>1.82547</v>
      </c>
      <c r="E6" s="4"/>
      <c r="F6" s="4"/>
    </row>
    <row r="7" spans="1:6">
      <c r="A7" s="5" t="s">
        <v>89</v>
      </c>
      <c r="B7" s="3" t="s">
        <v>83</v>
      </c>
      <c r="C7" s="4">
        <v>0.28165</v>
      </c>
      <c r="D7" s="4">
        <v>1.82547</v>
      </c>
      <c r="E7" s="4"/>
      <c r="F7" s="4"/>
    </row>
    <row r="8" spans="1:6">
      <c r="A8" s="5" t="s">
        <v>90</v>
      </c>
      <c r="B8" s="5" t="s">
        <v>89</v>
      </c>
      <c r="C8" s="4">
        <v>1.372304</v>
      </c>
      <c r="D8" s="4">
        <v>1.93698</v>
      </c>
      <c r="E8" s="4"/>
      <c r="F8" s="4"/>
    </row>
    <row r="9" spans="1:6">
      <c r="A9" s="5" t="s">
        <v>91</v>
      </c>
      <c r="B9" s="5" t="s">
        <v>89</v>
      </c>
      <c r="C9" s="4">
        <v>0.7922</v>
      </c>
      <c r="D9" s="4">
        <v>1.93698</v>
      </c>
      <c r="E9" s="4"/>
      <c r="F9" s="4"/>
    </row>
    <row r="10" spans="1:6">
      <c r="A10" s="5" t="s">
        <v>92</v>
      </c>
      <c r="B10" s="5" t="s">
        <v>89</v>
      </c>
      <c r="C10" s="4">
        <v>0.32717</v>
      </c>
      <c r="D10" s="4">
        <v>1.93698</v>
      </c>
      <c r="E10" s="4"/>
      <c r="F10" s="4"/>
    </row>
    <row r="11" spans="1:6">
      <c r="A11" s="5" t="s">
        <v>93</v>
      </c>
      <c r="B11" s="5" t="s">
        <v>92</v>
      </c>
      <c r="C11" s="4">
        <v>1.2381</v>
      </c>
      <c r="D11" s="4">
        <v>1.70262</v>
      </c>
      <c r="E11" s="4"/>
      <c r="F11" s="4"/>
    </row>
    <row r="12" spans="1:6">
      <c r="A12" s="5" t="s">
        <v>94</v>
      </c>
      <c r="B12" s="5" t="s">
        <v>92</v>
      </c>
      <c r="C12" s="4">
        <v>0.4386</v>
      </c>
      <c r="D12" s="4">
        <v>1.70262</v>
      </c>
      <c r="E12" s="4"/>
      <c r="F12" s="4"/>
    </row>
    <row r="13" spans="1:6">
      <c r="A13" s="5" t="s">
        <v>95</v>
      </c>
      <c r="B13" s="5" t="s">
        <v>94</v>
      </c>
      <c r="C13" s="4">
        <v>1.0816</v>
      </c>
      <c r="D13" s="4">
        <v>1.84925</v>
      </c>
      <c r="E13" s="4"/>
      <c r="F13" s="4"/>
    </row>
    <row r="14" spans="1:6">
      <c r="A14" s="5" t="s">
        <v>96</v>
      </c>
      <c r="B14" s="5" t="s">
        <v>94</v>
      </c>
      <c r="C14" s="4">
        <v>0.32724</v>
      </c>
      <c r="D14" s="4">
        <v>1.84925</v>
      </c>
      <c r="E14" s="4"/>
      <c r="F14" s="4"/>
    </row>
    <row r="15" spans="1:6">
      <c r="A15" s="5" t="s">
        <v>97</v>
      </c>
      <c r="B15" s="5" t="s">
        <v>96</v>
      </c>
      <c r="C15" s="4">
        <v>1.05416</v>
      </c>
      <c r="D15" s="4">
        <v>1.80108</v>
      </c>
      <c r="E15" s="4"/>
      <c r="F15" s="4"/>
    </row>
    <row r="16" spans="1:6">
      <c r="A16" s="5" t="s">
        <v>98</v>
      </c>
      <c r="B16" s="5" t="s">
        <v>96</v>
      </c>
      <c r="C16" s="4">
        <v>0.26264</v>
      </c>
      <c r="D16" s="4">
        <v>1.80108</v>
      </c>
      <c r="E16" s="4"/>
      <c r="F16" s="4"/>
    </row>
    <row r="17" spans="1:6">
      <c r="A17" s="5" t="s">
        <v>99</v>
      </c>
      <c r="B17" s="5" t="s">
        <v>98</v>
      </c>
      <c r="C17" s="4">
        <v>1.1208</v>
      </c>
      <c r="D17" s="4">
        <v>1.82931</v>
      </c>
      <c r="E17" s="4"/>
      <c r="F17" s="4"/>
    </row>
    <row r="18" spans="1:6">
      <c r="A18" s="5" t="s">
        <v>100</v>
      </c>
      <c r="B18" s="5" t="s">
        <v>98</v>
      </c>
      <c r="C18" s="4">
        <v>0.61445</v>
      </c>
      <c r="D18" s="4">
        <v>1.82931</v>
      </c>
      <c r="E18" s="4"/>
      <c r="F18" s="4"/>
    </row>
    <row r="19" spans="1:6">
      <c r="A19" s="5" t="s">
        <v>101</v>
      </c>
      <c r="B19" s="5" t="s">
        <v>100</v>
      </c>
      <c r="C19" s="4">
        <v>1.01024</v>
      </c>
      <c r="D19" s="4">
        <v>1.29123</v>
      </c>
      <c r="E19" s="4"/>
      <c r="F19" s="4"/>
    </row>
    <row r="20" spans="1:6">
      <c r="A20" s="5" t="s">
        <v>102</v>
      </c>
      <c r="B20" s="5" t="s">
        <v>100</v>
      </c>
      <c r="C20" s="4">
        <v>0.9808</v>
      </c>
      <c r="D20" s="4">
        <v>1.29123</v>
      </c>
      <c r="E20" s="4"/>
      <c r="F20" s="4"/>
    </row>
    <row r="21" spans="1:6">
      <c r="A21" s="5" t="s">
        <v>103</v>
      </c>
      <c r="B21" s="5" t="s">
        <v>102</v>
      </c>
      <c r="C21" s="4">
        <v>0.95082</v>
      </c>
      <c r="D21" s="4">
        <v>0.7265</v>
      </c>
      <c r="E21" s="4"/>
      <c r="F21" s="4"/>
    </row>
    <row r="22" spans="1:6">
      <c r="A22" s="5" t="s">
        <v>104</v>
      </c>
      <c r="B22" s="5" t="s">
        <v>102</v>
      </c>
      <c r="C22" s="4">
        <v>1.36804</v>
      </c>
      <c r="D22" s="4">
        <v>0.7265</v>
      </c>
      <c r="E22" s="4"/>
      <c r="F22" s="4"/>
    </row>
    <row r="23" spans="1:6">
      <c r="A23" s="6" t="s">
        <v>105</v>
      </c>
      <c r="B23" s="5" t="s">
        <v>104</v>
      </c>
      <c r="C23" s="4">
        <v>0.9561</v>
      </c>
      <c r="D23" s="4">
        <v>0.37665</v>
      </c>
      <c r="E23" s="4"/>
      <c r="F23" s="4"/>
    </row>
    <row r="24" spans="1:6">
      <c r="A24" s="5" t="s">
        <v>106</v>
      </c>
      <c r="B24" s="5" t="s">
        <v>104</v>
      </c>
      <c r="C24" s="4">
        <v>1.65807</v>
      </c>
      <c r="D24" s="4">
        <v>0.37665</v>
      </c>
      <c r="E24" s="4"/>
      <c r="F24" s="4"/>
    </row>
    <row r="25" spans="1:6">
      <c r="A25" s="5" t="s">
        <v>107</v>
      </c>
      <c r="B25" s="5" t="s">
        <v>106</v>
      </c>
      <c r="C25" s="4">
        <v>0.95319</v>
      </c>
      <c r="D25" s="4">
        <v>0.21538</v>
      </c>
      <c r="E25" s="4"/>
      <c r="F25" s="4"/>
    </row>
    <row r="26" spans="1:6">
      <c r="A26" s="5" t="s">
        <v>108</v>
      </c>
      <c r="B26" s="5" t="s">
        <v>106</v>
      </c>
      <c r="C26" s="4">
        <v>1.74139</v>
      </c>
      <c r="D26" s="4">
        <v>0.21538</v>
      </c>
      <c r="E26" s="4"/>
      <c r="F26" s="4"/>
    </row>
    <row r="27" spans="1:6">
      <c r="A27" s="6" t="s">
        <v>109</v>
      </c>
      <c r="B27" s="5" t="s">
        <v>108</v>
      </c>
      <c r="C27" s="4">
        <v>0.88936</v>
      </c>
      <c r="D27" s="4">
        <v>0.09516</v>
      </c>
      <c r="E27" s="4"/>
      <c r="F27" s="4"/>
    </row>
    <row r="28" spans="1:6">
      <c r="A28" s="5" t="s">
        <v>110</v>
      </c>
      <c r="B28" s="5" t="s">
        <v>108</v>
      </c>
      <c r="C28" s="4">
        <v>1.3961</v>
      </c>
      <c r="D28" s="4">
        <v>0.09516</v>
      </c>
      <c r="E28" s="4"/>
      <c r="F28" s="4"/>
    </row>
    <row r="29" spans="1:6">
      <c r="A29" s="5" t="s">
        <v>111</v>
      </c>
      <c r="B29" s="5" t="s">
        <v>110</v>
      </c>
      <c r="C29" s="4">
        <v>0.87478</v>
      </c>
      <c r="D29" s="4">
        <v>0.38935</v>
      </c>
      <c r="E29" s="4"/>
      <c r="F29" s="4"/>
    </row>
    <row r="30" spans="1:6">
      <c r="A30" s="5" t="s">
        <v>112</v>
      </c>
      <c r="B30" s="5" t="s">
        <v>110</v>
      </c>
      <c r="C30" s="4">
        <v>1.42425</v>
      </c>
      <c r="D30" s="4">
        <v>0.38935</v>
      </c>
      <c r="E30" s="4"/>
      <c r="F30" s="4"/>
    </row>
    <row r="31" spans="1:6">
      <c r="A31" s="6" t="s">
        <v>113</v>
      </c>
      <c r="B31" s="5" t="s">
        <v>112</v>
      </c>
      <c r="C31" s="4">
        <v>0.91847</v>
      </c>
      <c r="D31" s="4">
        <v>0.3939</v>
      </c>
      <c r="E31" s="4"/>
      <c r="F31" s="4"/>
    </row>
    <row r="32" spans="1:6">
      <c r="A32" s="5" t="s">
        <v>114</v>
      </c>
      <c r="B32" s="5" t="s">
        <v>112</v>
      </c>
      <c r="C32" s="4">
        <v>1.3623</v>
      </c>
      <c r="D32" s="4">
        <v>0.3939</v>
      </c>
      <c r="E32" s="4"/>
      <c r="F32" s="4"/>
    </row>
    <row r="33" spans="1:6">
      <c r="A33" s="5" t="s">
        <v>115</v>
      </c>
      <c r="B33" s="5" t="s">
        <v>112</v>
      </c>
      <c r="C33" s="4">
        <v>1.80621</v>
      </c>
      <c r="D33" s="4">
        <v>0.3939</v>
      </c>
      <c r="E33" s="4"/>
      <c r="F33" s="4"/>
    </row>
    <row r="34" spans="1:6">
      <c r="A34" s="5" t="s">
        <v>116</v>
      </c>
      <c r="B34" s="5" t="s">
        <v>115</v>
      </c>
      <c r="C34" s="4">
        <v>0.95857</v>
      </c>
      <c r="D34" s="4">
        <v>0.52375</v>
      </c>
      <c r="E34" s="4"/>
      <c r="F34" s="4"/>
    </row>
    <row r="35" spans="1:6">
      <c r="A35" s="6" t="s">
        <v>117</v>
      </c>
      <c r="B35" s="5" t="s">
        <v>115</v>
      </c>
      <c r="C35" s="4">
        <v>1.35936</v>
      </c>
      <c r="D35" s="4">
        <v>0.52375</v>
      </c>
      <c r="E35" s="4"/>
      <c r="F35" s="4"/>
    </row>
    <row r="36" spans="1:6">
      <c r="A36" s="6" t="s">
        <v>118</v>
      </c>
      <c r="B36" s="5" t="s">
        <v>115</v>
      </c>
      <c r="C36" s="4">
        <v>1.45395</v>
      </c>
      <c r="D36" s="4">
        <v>0.52375</v>
      </c>
      <c r="E36" s="4"/>
      <c r="F36" s="4"/>
    </row>
    <row r="37" spans="1:5">
      <c r="A37" s="7" t="s">
        <v>115</v>
      </c>
      <c r="B37" s="7" t="s">
        <v>84</v>
      </c>
      <c r="C37" s="8">
        <v>0</v>
      </c>
      <c r="D37" s="8">
        <v>0.52375</v>
      </c>
      <c r="E37" s="8">
        <v>1.80627</v>
      </c>
    </row>
    <row r="38" spans="1:5">
      <c r="A38" s="6" t="s">
        <v>119</v>
      </c>
      <c r="B38" s="6" t="s">
        <v>115</v>
      </c>
      <c r="C38" s="4">
        <v>1.84517</v>
      </c>
      <c r="D38" s="4">
        <v>0.52375</v>
      </c>
      <c r="E38" s="4">
        <v>0.48485</v>
      </c>
    </row>
    <row r="39" spans="1:5">
      <c r="A39" s="6" t="s">
        <v>120</v>
      </c>
      <c r="B39" s="6" t="s">
        <v>115</v>
      </c>
      <c r="C39" s="4">
        <v>1.7466</v>
      </c>
      <c r="D39" s="4">
        <v>0.52375</v>
      </c>
      <c r="E39" s="4">
        <v>0.58342</v>
      </c>
    </row>
    <row r="40" spans="1:5">
      <c r="A40" s="5" t="s">
        <v>121</v>
      </c>
      <c r="B40" s="6" t="s">
        <v>120</v>
      </c>
      <c r="C40" s="4">
        <v>1.58779</v>
      </c>
      <c r="D40" s="4">
        <v>1.98752</v>
      </c>
      <c r="E40" s="4">
        <v>0.98315</v>
      </c>
    </row>
    <row r="41" spans="1:5">
      <c r="A41" s="5" t="s">
        <v>122</v>
      </c>
      <c r="B41" s="6" t="s">
        <v>120</v>
      </c>
      <c r="C41" s="4">
        <v>1.1299</v>
      </c>
      <c r="D41" s="4">
        <v>1.98752</v>
      </c>
      <c r="E41" s="4">
        <v>1.44104</v>
      </c>
    </row>
    <row r="42" spans="1:5">
      <c r="A42" s="5" t="s">
        <v>123</v>
      </c>
      <c r="B42" s="6" t="s">
        <v>120</v>
      </c>
      <c r="C42" s="4">
        <v>0.70048</v>
      </c>
      <c r="D42" s="4">
        <v>1.98752</v>
      </c>
      <c r="E42" s="4">
        <v>1.87046</v>
      </c>
    </row>
    <row r="43" spans="1:5">
      <c r="A43" s="6" t="s">
        <v>40</v>
      </c>
      <c r="B43" s="6" t="s">
        <v>120</v>
      </c>
      <c r="C43" s="4">
        <v>0.27089</v>
      </c>
      <c r="D43" s="4">
        <v>1.98752</v>
      </c>
      <c r="E43" s="4">
        <v>2.30005</v>
      </c>
    </row>
    <row r="44" spans="1:5">
      <c r="A44" s="5" t="s">
        <v>124</v>
      </c>
      <c r="B44" s="6" t="s">
        <v>40</v>
      </c>
      <c r="C44" s="4">
        <v>1.17565</v>
      </c>
      <c r="D44" s="4">
        <v>1.73458</v>
      </c>
      <c r="E44" s="4">
        <v>2.85898</v>
      </c>
    </row>
    <row r="45" spans="1:5">
      <c r="A45" s="5" t="s">
        <v>125</v>
      </c>
      <c r="B45" s="6" t="s">
        <v>40</v>
      </c>
      <c r="C45" s="4">
        <v>0.66289</v>
      </c>
      <c r="D45" s="4">
        <v>1.73458</v>
      </c>
      <c r="E45" s="4">
        <v>3.37174</v>
      </c>
    </row>
    <row r="46" spans="1:5">
      <c r="A46" s="5" t="s">
        <v>126</v>
      </c>
      <c r="B46" s="6" t="s">
        <v>40</v>
      </c>
      <c r="C46" s="4">
        <v>0.16823</v>
      </c>
      <c r="D46" s="4">
        <v>1.73458</v>
      </c>
      <c r="E46" s="4">
        <v>3.8664</v>
      </c>
    </row>
    <row r="47" spans="1:5">
      <c r="A47" s="6" t="s">
        <v>36</v>
      </c>
      <c r="B47" s="5" t="s">
        <v>126</v>
      </c>
      <c r="C47" s="4">
        <v>1.05807</v>
      </c>
      <c r="D47" s="4">
        <v>1.5731</v>
      </c>
      <c r="E47" s="4">
        <v>4.38143</v>
      </c>
    </row>
    <row r="48" spans="1:5">
      <c r="A48" s="5" t="s">
        <v>127</v>
      </c>
      <c r="B48" s="5" t="s">
        <v>126</v>
      </c>
      <c r="C48" s="4">
        <v>0.2733</v>
      </c>
      <c r="D48" s="4">
        <v>1.5731</v>
      </c>
      <c r="E48" s="4">
        <v>5.1662</v>
      </c>
    </row>
    <row r="49" spans="1:5">
      <c r="A49" s="5" t="s">
        <v>128</v>
      </c>
      <c r="B49" s="5" t="s">
        <v>127</v>
      </c>
      <c r="C49" s="4">
        <v>1.04966</v>
      </c>
      <c r="D49" s="4">
        <v>1.84415</v>
      </c>
      <c r="E49" s="4">
        <v>5.96069</v>
      </c>
    </row>
    <row r="50" spans="1:5">
      <c r="A50" s="5" t="s">
        <v>129</v>
      </c>
      <c r="B50" s="5" t="s">
        <v>127</v>
      </c>
      <c r="C50" s="4">
        <v>0.295</v>
      </c>
      <c r="D50" s="4">
        <v>1.84415</v>
      </c>
      <c r="E50" s="4">
        <v>6.71535</v>
      </c>
    </row>
    <row r="51" spans="1:5">
      <c r="A51" s="6" t="s">
        <v>32</v>
      </c>
      <c r="B51" s="5" t="s">
        <v>129</v>
      </c>
      <c r="C51" s="4">
        <v>0.96472</v>
      </c>
      <c r="D51" s="4">
        <v>1.64639</v>
      </c>
      <c r="E51" s="4">
        <v>7.39702</v>
      </c>
    </row>
    <row r="52" spans="1:5">
      <c r="A52" s="5" t="s">
        <v>130</v>
      </c>
      <c r="B52" s="5" t="s">
        <v>129</v>
      </c>
      <c r="C52" s="4">
        <v>0.38435</v>
      </c>
      <c r="D52" s="4">
        <v>1.64639</v>
      </c>
      <c r="E52" s="4">
        <v>7.97739</v>
      </c>
    </row>
    <row r="53" spans="1:5">
      <c r="A53" s="5" t="s">
        <v>131</v>
      </c>
      <c r="B53" s="5" t="s">
        <v>130</v>
      </c>
      <c r="C53" s="4">
        <v>1.09258</v>
      </c>
      <c r="D53" s="4">
        <v>1.50094</v>
      </c>
      <c r="E53" s="4">
        <v>8.38575</v>
      </c>
    </row>
    <row r="54" spans="1:5">
      <c r="A54" s="5" t="s">
        <v>132</v>
      </c>
      <c r="B54" s="5" t="s">
        <v>130</v>
      </c>
      <c r="C54" s="4">
        <v>0.85845</v>
      </c>
      <c r="D54" s="4">
        <v>1.50094</v>
      </c>
      <c r="E54" s="4">
        <v>8.61988</v>
      </c>
    </row>
    <row r="55" spans="1:5">
      <c r="A55" s="5" t="s">
        <v>133</v>
      </c>
      <c r="B55" s="5" t="s">
        <v>132</v>
      </c>
      <c r="C55" s="4">
        <v>1.09531</v>
      </c>
      <c r="D55" s="4">
        <v>1.06684</v>
      </c>
      <c r="E55" s="4">
        <v>8.59141</v>
      </c>
    </row>
    <row r="56" spans="1:5">
      <c r="A56" s="5" t="s">
        <v>134</v>
      </c>
      <c r="B56" s="5" t="s">
        <v>132</v>
      </c>
      <c r="C56" s="4">
        <v>1.33911</v>
      </c>
      <c r="D56" s="4">
        <v>1.06684</v>
      </c>
      <c r="E56" s="4">
        <v>8.34761</v>
      </c>
    </row>
    <row r="57" spans="1:5">
      <c r="A57" s="5" t="s">
        <v>135</v>
      </c>
      <c r="B57" s="5" t="s">
        <v>134</v>
      </c>
      <c r="C57" s="4">
        <v>1.1303</v>
      </c>
      <c r="D57" s="4">
        <v>0.573</v>
      </c>
      <c r="E57" s="4">
        <v>7.79031</v>
      </c>
    </row>
    <row r="58" spans="1:5">
      <c r="A58" s="5" t="s">
        <v>136</v>
      </c>
      <c r="B58" s="5" t="s">
        <v>134</v>
      </c>
      <c r="C58" s="4">
        <v>1.83661</v>
      </c>
      <c r="D58" s="4">
        <v>0.573</v>
      </c>
      <c r="E58" s="4">
        <v>7.084</v>
      </c>
    </row>
    <row r="59" spans="1:5">
      <c r="A59" s="5" t="s">
        <v>24</v>
      </c>
      <c r="B59" s="5" t="s">
        <v>136</v>
      </c>
      <c r="C59" s="4">
        <v>1.07445</v>
      </c>
      <c r="D59" s="4">
        <v>0.293</v>
      </c>
      <c r="E59" s="4">
        <v>6.30255</v>
      </c>
    </row>
    <row r="60" spans="1:5">
      <c r="A60" s="5" t="s">
        <v>137</v>
      </c>
      <c r="B60" s="5" t="s">
        <v>136</v>
      </c>
      <c r="C60" s="4">
        <v>1.81203</v>
      </c>
      <c r="D60" s="4">
        <v>0.293</v>
      </c>
      <c r="E60" s="4">
        <v>5.56497</v>
      </c>
    </row>
    <row r="61" spans="1:5">
      <c r="A61" s="5" t="s">
        <v>138</v>
      </c>
      <c r="B61" s="5" t="s">
        <v>137</v>
      </c>
      <c r="C61" s="4">
        <v>1.01623</v>
      </c>
      <c r="D61" s="4">
        <v>0.27631</v>
      </c>
      <c r="E61" s="4">
        <v>4.82505</v>
      </c>
    </row>
    <row r="62" spans="1:5">
      <c r="A62" s="5" t="s">
        <v>139</v>
      </c>
      <c r="B62" s="5" t="s">
        <v>137</v>
      </c>
      <c r="C62" s="4">
        <v>1.7976</v>
      </c>
      <c r="D62" s="4">
        <v>0.27631</v>
      </c>
      <c r="E62" s="4">
        <v>4.04368</v>
      </c>
    </row>
    <row r="63" spans="1:5">
      <c r="A63" s="5" t="s">
        <v>20</v>
      </c>
      <c r="B63" s="5" t="s">
        <v>139</v>
      </c>
      <c r="C63" s="4">
        <v>1.03435</v>
      </c>
      <c r="D63" s="4">
        <v>0.2424</v>
      </c>
      <c r="E63" s="4">
        <v>3.25173</v>
      </c>
    </row>
    <row r="64" spans="1:5">
      <c r="A64" s="5" t="s">
        <v>140</v>
      </c>
      <c r="B64" s="5" t="s">
        <v>139</v>
      </c>
      <c r="C64" s="4">
        <v>1.53057</v>
      </c>
      <c r="D64" s="4">
        <v>0.2424</v>
      </c>
      <c r="E64" s="4">
        <v>2.75551</v>
      </c>
    </row>
    <row r="65" spans="1:5">
      <c r="A65" s="5" t="s">
        <v>141</v>
      </c>
      <c r="B65" s="5" t="s">
        <v>140</v>
      </c>
      <c r="C65" s="4">
        <v>1.0866</v>
      </c>
      <c r="D65" s="4">
        <v>0.62918</v>
      </c>
      <c r="E65" s="4">
        <v>2.29809</v>
      </c>
    </row>
    <row r="66" spans="1:5">
      <c r="A66" s="5" t="s">
        <v>142</v>
      </c>
      <c r="B66" s="5" t="s">
        <v>140</v>
      </c>
      <c r="C66" s="4">
        <v>1.62171</v>
      </c>
      <c r="D66" s="4">
        <v>0.62918</v>
      </c>
      <c r="E66" s="4">
        <v>1.76298</v>
      </c>
    </row>
    <row r="67" spans="1:5">
      <c r="A67" s="5" t="s">
        <v>16</v>
      </c>
      <c r="B67" s="5" t="s">
        <v>142</v>
      </c>
      <c r="C67" s="4">
        <v>1.11053</v>
      </c>
      <c r="D67" s="4">
        <v>0.52434</v>
      </c>
      <c r="E67" s="4">
        <v>1.17679</v>
      </c>
    </row>
    <row r="68" spans="1:5">
      <c r="A68" s="5" t="s">
        <v>143</v>
      </c>
      <c r="B68" s="5" t="s">
        <v>142</v>
      </c>
      <c r="C68" s="4">
        <v>1.54542</v>
      </c>
      <c r="D68" s="4">
        <v>0.52434</v>
      </c>
      <c r="E68" s="4">
        <v>0.741900000000001</v>
      </c>
    </row>
    <row r="69" spans="1:5">
      <c r="A69" s="5" t="s">
        <v>144</v>
      </c>
      <c r="B69" s="5" t="s">
        <v>142</v>
      </c>
      <c r="C69" s="4">
        <v>1.93085</v>
      </c>
      <c r="D69" s="4">
        <v>0.52434</v>
      </c>
      <c r="E69" s="4">
        <v>0.356470000000001</v>
      </c>
    </row>
    <row r="70" spans="1:5">
      <c r="A70" s="5" t="s">
        <v>145</v>
      </c>
      <c r="B70" s="5" t="s">
        <v>144</v>
      </c>
      <c r="C70" s="4">
        <v>1.15852</v>
      </c>
      <c r="D70" s="4">
        <v>0.77568</v>
      </c>
      <c r="E70" s="4">
        <v>-0.0263699999999989</v>
      </c>
    </row>
    <row r="71" spans="1:5">
      <c r="A71" s="3" t="s">
        <v>146</v>
      </c>
      <c r="B71" s="5" t="s">
        <v>145</v>
      </c>
      <c r="C71" s="4">
        <v>1.2953</v>
      </c>
      <c r="D71" s="4">
        <v>1.06756</v>
      </c>
      <c r="E71" s="4">
        <v>-0.254109999999999</v>
      </c>
    </row>
    <row r="72" spans="1:5">
      <c r="A72" s="3" t="s">
        <v>147</v>
      </c>
      <c r="B72" s="5" t="s">
        <v>145</v>
      </c>
      <c r="C72" s="4">
        <v>1.36602</v>
      </c>
      <c r="D72" s="4">
        <v>1.06756</v>
      </c>
      <c r="E72" s="4">
        <v>-0.324829999999999</v>
      </c>
    </row>
    <row r="73" spans="1:5">
      <c r="A73" s="6" t="s">
        <v>83</v>
      </c>
      <c r="B73" s="5" t="s">
        <v>145</v>
      </c>
      <c r="C73" s="4">
        <v>1.037</v>
      </c>
      <c r="D73" s="4">
        <v>1.06756</v>
      </c>
      <c r="E73" s="4">
        <v>0.00419000000000125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草稿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林 迪南</cp:lastModifiedBy>
  <dcterms:created xsi:type="dcterms:W3CDTF">2020-05-31T01:10:00Z</dcterms:created>
  <dcterms:modified xsi:type="dcterms:W3CDTF">2020-07-31T06:44:59Z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